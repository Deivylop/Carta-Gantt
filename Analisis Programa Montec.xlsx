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ivy\OneDrive - Universidad Adolfo Ibanez\Escritorio\Informe Mensual\Informe Montec\Código\"/>
    </mc:Choice>
  </mc:AlternateContent>
  <xr:revisionPtr revIDLastSave="0" documentId="13_ncr:1_{8F0DD32C-C6FB-4E6B-97F9-6A9538FD1471}" xr6:coauthVersionLast="47" xr6:coauthVersionMax="47" xr10:uidLastSave="{00000000-0000-0000-0000-000000000000}"/>
  <bookViews>
    <workbookView xWindow="-110" yWindow="-110" windowWidth="25820" windowHeight="15500" xr2:uid="{E974F50D-46C4-4847-8353-1A2E4AE2E7D6}"/>
  </bookViews>
  <sheets>
    <sheet name="Programa Enero" sheetId="3" r:id="rId1"/>
    <sheet name="Restricciones" sheetId="4" r:id="rId2"/>
    <sheet name="Programa Enero Montec" sheetId="2" state="veryHidden" r:id="rId3"/>
  </sheets>
  <definedNames>
    <definedName name="_xlnm._FilterDatabase" localSheetId="0" hidden="1">'Programa Enero'!$C$2:$O$48</definedName>
    <definedName name="_xlnm._FilterDatabase" localSheetId="2" hidden="1">'Programa Enero Montec'!$C$3:$O$75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3" l="1"/>
  <c r="P18" i="3"/>
  <c r="P17" i="3"/>
  <c r="P14" i="3"/>
  <c r="P9" i="3"/>
  <c r="P11" i="3"/>
  <c r="P12" i="3"/>
  <c r="P13" i="3"/>
  <c r="P15" i="3"/>
  <c r="P16" i="3"/>
  <c r="P19" i="3"/>
  <c r="P20" i="3"/>
  <c r="P22" i="3"/>
  <c r="P23" i="3"/>
  <c r="P24" i="3"/>
  <c r="P26" i="3"/>
  <c r="P28" i="3"/>
  <c r="P29" i="3"/>
  <c r="P31" i="3"/>
  <c r="P32" i="3"/>
  <c r="P33" i="3"/>
  <c r="P35" i="3"/>
  <c r="P36" i="3"/>
  <c r="P37" i="3"/>
  <c r="P39" i="3"/>
  <c r="P40" i="3"/>
  <c r="P41" i="3"/>
  <c r="P42" i="3"/>
  <c r="P43" i="3"/>
  <c r="P44" i="3"/>
  <c r="P45" i="3"/>
  <c r="P46" i="3"/>
  <c r="P47" i="3"/>
  <c r="P48" i="3"/>
  <c r="P8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3" i="3"/>
  <c r="J32" i="3"/>
  <c r="J31" i="3"/>
  <c r="J29" i="3"/>
  <c r="J28" i="3"/>
  <c r="J26" i="3"/>
  <c r="J24" i="3"/>
  <c r="J23" i="3"/>
  <c r="J22" i="3"/>
  <c r="J20" i="3"/>
  <c r="J19" i="3"/>
  <c r="J18" i="3"/>
  <c r="J17" i="3"/>
  <c r="J16" i="3"/>
  <c r="J15" i="3"/>
  <c r="J14" i="3"/>
  <c r="J13" i="3"/>
  <c r="J12" i="3"/>
  <c r="J11" i="3"/>
  <c r="J9" i="3"/>
  <c r="J8" i="3"/>
  <c r="Q10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8" i="2"/>
  <c r="P7" i="2"/>
  <c r="P6" i="2"/>
  <c r="P5" i="2"/>
  <c r="P4" i="2"/>
  <c r="P9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<sst xmlns="http://schemas.openxmlformats.org/spreadsheetml/2006/main" count="282" uniqueCount="89">
  <si>
    <t>ID255 (1854 m)</t>
  </si>
  <si>
    <t>TRAMO B KM 1+223 AL KM 3+092 (1.869 m)</t>
  </si>
  <si>
    <t>R</t>
  </si>
  <si>
    <t>IB48 (328 m)</t>
  </si>
  <si>
    <t>IB47 (59 m)</t>
  </si>
  <si>
    <t>ID254 (449 m)</t>
  </si>
  <si>
    <t>IB46 (24 m)</t>
  </si>
  <si>
    <t>ID253 (38 m)</t>
  </si>
  <si>
    <t>TRAMO A KM 0+000 AL KM 1+223 (1.223 m)</t>
  </si>
  <si>
    <t>SECTOR 6000</t>
  </si>
  <si>
    <t>REPROGRAMADO ID248 AL ID250 (60 m)</t>
  </si>
  <si>
    <t>TRAMO F KM 70+621 AL KM 75+187 (4.566 m)</t>
  </si>
  <si>
    <t>REPROGRAMADO ID171-C AL ID171-D (146 m)</t>
  </si>
  <si>
    <t>REPROGRAMADO ID171-A AL ID171-C (170 m)</t>
  </si>
  <si>
    <t>REPROGRAMADO ID170 AL ID171-A (69 m)</t>
  </si>
  <si>
    <t>TRAMO B KM 51+433 AL KM 54+362 (2.929 m)</t>
  </si>
  <si>
    <t>REPROGRAMADO ID169 (1930 m)</t>
  </si>
  <si>
    <t>TRAMO A2 KM 48+250 AL KM 51+433 (3.183 m)</t>
  </si>
  <si>
    <t>REPROGRAMADO ID169 (1485 m)</t>
  </si>
  <si>
    <t>TRAMO A1 KM 46+765 AL KM 48+250 (1.485 m)</t>
  </si>
  <si>
    <t>SECTOR 5000</t>
  </si>
  <si>
    <t>REPROGRAMADO</t>
  </si>
  <si>
    <t>TRAMO KM 40+793 AL KM 46+765 (5.972 m)</t>
  </si>
  <si>
    <t>SECTOR 4000</t>
  </si>
  <si>
    <t>REPROGRAMADO ID168 (PORTAL) (18 m)</t>
  </si>
  <si>
    <t>REPROGRAMADO VIAL2 168-4 AL VIAL2 168-5 (219 m)</t>
  </si>
  <si>
    <t>REPROGRAMADO IB33.9 (26 m)</t>
  </si>
  <si>
    <t>REPROGRAMADO VIAL2 168-2 AL VIAL2 168-3 (117 m)</t>
  </si>
  <si>
    <t>REPROGRAMADO ID168 (CAMINOS INTERNOS T1-T2) (229 m)</t>
  </si>
  <si>
    <t>REPROGRAMADO ID168 (CAMINOS INTERNOS T2) (281 m)</t>
  </si>
  <si>
    <t>REPROGRAMADO ID168 (CAMINOS INTERNOS) (100 m)</t>
  </si>
  <si>
    <t>REPROGRAMADO ID168 (CAMINOS INTERNOS T3) (608 m)</t>
  </si>
  <si>
    <t>REPROGRAMADO VIAL1 168-P + ID168 (CAMINOS INTERNOS) (152 m)</t>
  </si>
  <si>
    <t>REPROGRAMADO VIAL1 168-O (180 m)</t>
  </si>
  <si>
    <t>REPROGRAMADO VIAL1 168-L AL VIAL1 168-M (140 m)</t>
  </si>
  <si>
    <t>REPROGRAMADO ID168 (CANTERA)+VIAL1 168-K (430 m)</t>
  </si>
  <si>
    <t>REPROGRAMADO IB33.12 (50 m)</t>
  </si>
  <si>
    <t>REPROGRAMADO Paralelismo Sector La Gruta (570 m)</t>
  </si>
  <si>
    <t>TRAMO I KM 35+270 AL KM 40+491 (5.221 m)</t>
  </si>
  <si>
    <t>REPROGRAMADO IB33.6 AL IB33.7 (890 m)</t>
  </si>
  <si>
    <t>REPROGRAMADO IB33.2-IB33.4 (190 m)</t>
  </si>
  <si>
    <t>REPROGRAMADO IB33.5 (1.950 m)</t>
  </si>
  <si>
    <t>TRAMO H KM 32+240 AL KM 35+270 (3.030 m)</t>
  </si>
  <si>
    <t>REPROGRAMADO IB32.1 AL IB33.1 (205 m)</t>
  </si>
  <si>
    <t>REPROGRAMADO IB31.1 AL IB31.3 (235 m)</t>
  </si>
  <si>
    <t>TRAMO G KM 30+300 AL KM 32+240 (1.940 m)</t>
  </si>
  <si>
    <t>REPROGRAMADO IB26.1 AL IB28.1 (4490 m)</t>
  </si>
  <si>
    <t>TRAMO F KM 21+945 AL KM 30+300 (8.355 m)</t>
  </si>
  <si>
    <t>REPROGRAMADO IB14.3 (743 m)</t>
  </si>
  <si>
    <t>REPROGRAMADO ID62.2.2 AL IB14.1.2 (525 m)</t>
  </si>
  <si>
    <t>REPROGRAMADO IB14.1.1 AL ID62.2.2 (230 m)</t>
  </si>
  <si>
    <t>TRAMO C KM 10+037 AL KM 13+420 (3.383 m)</t>
  </si>
  <si>
    <t>REPROGRAMADO ID50 AL ID58 (670 m)</t>
  </si>
  <si>
    <t>REPROGRAMADO ID35.1 AL ID50 (50 m)</t>
  </si>
  <si>
    <t>REPROGRAMADO ID35.1 (480 m)</t>
  </si>
  <si>
    <t>REPROGRAMADO IB13 AL ID35.1 (60 m)</t>
  </si>
  <si>
    <t>REPROGRAMADO ID33 AL IB13 (220 m)</t>
  </si>
  <si>
    <t>REPROGRAMADO ID30 AL ID32 (65 m)</t>
  </si>
  <si>
    <t>REPROGRAMADO ID30 (430 m)</t>
  </si>
  <si>
    <t>REPROGRAMADO ID28 (600 m)</t>
  </si>
  <si>
    <t>REPROGRAMADO ID27 (140 m)</t>
  </si>
  <si>
    <t>REPROGRAMADO ID26 (475 m)</t>
  </si>
  <si>
    <t>TRAMO B KM 4+380 AL KM 10+037 (5.657 m)</t>
  </si>
  <si>
    <t>REPROGRAMADO ID18 AL ID19 (175 m)</t>
  </si>
  <si>
    <t>REPROGRAMADO IB4 AL ID18 (470 m)</t>
  </si>
  <si>
    <t>TRAMO A KM 0+000 AL KM 4+380 (4.380 m)</t>
  </si>
  <si>
    <t>SECTOR 3000</t>
  </si>
  <si>
    <t>REPROGRAMADO ID4 (210 m)</t>
  </si>
  <si>
    <t>TRAMO B KM 2+680 AL KM 7+490 (4.810 m)</t>
  </si>
  <si>
    <t>SECTOR 2000</t>
  </si>
  <si>
    <t>ACUEDUCTO</t>
  </si>
  <si>
    <t>CONSTRUCCION</t>
  </si>
  <si>
    <t>PROYECTO ACUEDUCTO PUCHUNCAVÍ - SAN ISIDRO - QUILAPILÚN REV.0 ENERO</t>
  </si>
  <si>
    <t>Porcentaje finalizado de unidades</t>
  </si>
  <si>
    <t>Finalización</t>
  </si>
  <si>
    <t>Inicio temprano de trabajo restante</t>
  </si>
  <si>
    <t>Duración restante</t>
  </si>
  <si>
    <t>ID de actividad</t>
  </si>
  <si>
    <t>Resumen</t>
  </si>
  <si>
    <t xml:space="preserve">FORECAST ENERO </t>
  </si>
  <si>
    <t>LÍNEA BASE</t>
  </si>
  <si>
    <t>Ítem</t>
  </si>
  <si>
    <t>Actividad</t>
  </si>
  <si>
    <t>Rendimiento (ml/d)</t>
  </si>
  <si>
    <t>Q Total (Cantidad)</t>
  </si>
  <si>
    <t>Canta avanzada</t>
  </si>
  <si>
    <t>Cant. avanzada</t>
  </si>
  <si>
    <t>FECHA PREVISTA LIBERACIÓN TOTAL</t>
  </si>
  <si>
    <t>Remanente 31-01-2026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</si>
</sst>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0" fillId="0" borderId="1" xfId="0" applyNumberForma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86F6-135B-4F52-BD82-1FB44FEBC088}">
  <sheetPr codeName="Hoja1"/>
  <dimension ref="B1:R56"/>
  <sheetViews>
    <sheetView tabSelected="1" topLeftCell="D1" zoomScale="90" zoomScaleNormal="90" workbookViewId="0">
      <selection activeCell="Q35" sqref="Q35:Q48"/>
    </sheetView>
  </sheetViews>
  <sheetFormatPr baseColWidth="10" defaultRowHeight="14.5" x14ac:dyDescent="0.35"/>
  <cols>
    <col min="2" max="3" width="16.26953125" style="1" customWidth="1"/>
    <col min="4" max="4" width="67.08984375" bestFit="1" customWidth="1"/>
    <col min="5" max="10" width="13.26953125" customWidth="1"/>
    <col min="11" max="11" width="10.90625" style="1"/>
    <col min="12" max="12" width="29.26953125" style="1" bestFit="1" customWidth="1"/>
    <col min="13" max="13" width="15.453125" style="1" customWidth="1"/>
    <col min="14" max="17" width="10.90625" style="1"/>
  </cols>
  <sheetData>
    <row r="1" spans="2:18" x14ac:dyDescent="0.35">
      <c r="E1" s="19" t="s">
        <v>80</v>
      </c>
      <c r="F1" s="19"/>
      <c r="G1" s="19"/>
      <c r="H1" s="19"/>
      <c r="I1" s="19"/>
      <c r="J1" s="19"/>
      <c r="K1" s="19" t="s">
        <v>79</v>
      </c>
      <c r="L1" s="19"/>
      <c r="M1" s="19"/>
      <c r="N1" s="19"/>
      <c r="O1" s="19"/>
      <c r="P1" s="19"/>
      <c r="Q1"/>
    </row>
    <row r="2" spans="2:18" ht="58" x14ac:dyDescent="0.35">
      <c r="B2" s="14" t="s">
        <v>81</v>
      </c>
      <c r="C2" s="14" t="s">
        <v>78</v>
      </c>
      <c r="D2" s="14" t="s">
        <v>77</v>
      </c>
      <c r="E2" s="14" t="s">
        <v>76</v>
      </c>
      <c r="F2" s="14" t="s">
        <v>75</v>
      </c>
      <c r="G2" s="14" t="s">
        <v>74</v>
      </c>
      <c r="H2" s="14" t="s">
        <v>73</v>
      </c>
      <c r="I2" s="14" t="s">
        <v>84</v>
      </c>
      <c r="J2" s="14" t="s">
        <v>83</v>
      </c>
      <c r="K2" s="14" t="s">
        <v>76</v>
      </c>
      <c r="L2" s="14" t="s">
        <v>75</v>
      </c>
      <c r="M2" s="14" t="s">
        <v>74</v>
      </c>
      <c r="N2" s="14" t="s">
        <v>73</v>
      </c>
      <c r="O2" s="14" t="s">
        <v>84</v>
      </c>
      <c r="P2" s="14" t="s">
        <v>86</v>
      </c>
      <c r="Q2" s="14" t="s">
        <v>88</v>
      </c>
    </row>
    <row r="3" spans="2:18" x14ac:dyDescent="0.35">
      <c r="B3" s="10">
        <v>1</v>
      </c>
      <c r="C3" s="10" t="s">
        <v>2</v>
      </c>
      <c r="D3" s="11" t="s">
        <v>72</v>
      </c>
      <c r="E3" s="10"/>
      <c r="F3" s="9"/>
      <c r="G3" s="9"/>
      <c r="H3" s="8"/>
      <c r="I3" s="7"/>
      <c r="J3" s="16"/>
      <c r="K3" s="10"/>
      <c r="L3" s="9"/>
      <c r="M3" s="9"/>
      <c r="N3" s="8"/>
      <c r="O3" s="7"/>
      <c r="P3" s="7"/>
      <c r="Q3" s="7"/>
      <c r="R3" s="15"/>
    </row>
    <row r="4" spans="2:18" x14ac:dyDescent="0.35">
      <c r="B4" s="10">
        <v>2</v>
      </c>
      <c r="C4" s="10" t="s">
        <v>2</v>
      </c>
      <c r="D4" s="11" t="s">
        <v>71</v>
      </c>
      <c r="E4" s="10"/>
      <c r="F4" s="9"/>
      <c r="G4" s="9"/>
      <c r="H4" s="8"/>
      <c r="I4" s="7"/>
      <c r="J4" s="16"/>
      <c r="K4" s="10"/>
      <c r="L4" s="9"/>
      <c r="M4" s="9"/>
      <c r="N4" s="8"/>
      <c r="O4" s="7"/>
      <c r="P4" s="7"/>
      <c r="Q4" s="7"/>
      <c r="R4" s="15"/>
    </row>
    <row r="5" spans="2:18" x14ac:dyDescent="0.35">
      <c r="B5" s="10">
        <v>3</v>
      </c>
      <c r="C5" s="10" t="s">
        <v>2</v>
      </c>
      <c r="D5" s="11" t="s">
        <v>70</v>
      </c>
      <c r="E5" s="10"/>
      <c r="F5" s="9"/>
      <c r="G5" s="9"/>
      <c r="H5" s="8"/>
      <c r="I5" s="7"/>
      <c r="J5" s="16"/>
      <c r="K5" s="10"/>
      <c r="L5" s="9"/>
      <c r="M5" s="9"/>
      <c r="N5" s="8"/>
      <c r="O5" s="7"/>
      <c r="P5" s="7"/>
      <c r="Q5" s="7"/>
      <c r="R5" s="15"/>
    </row>
    <row r="6" spans="2:18" x14ac:dyDescent="0.35">
      <c r="B6" s="10">
        <v>4</v>
      </c>
      <c r="C6" s="10" t="s">
        <v>2</v>
      </c>
      <c r="D6" s="11" t="s">
        <v>66</v>
      </c>
      <c r="E6" s="10"/>
      <c r="F6" s="9"/>
      <c r="G6" s="9"/>
      <c r="H6" s="8"/>
      <c r="I6" s="7"/>
      <c r="J6" s="16"/>
      <c r="K6" s="10"/>
      <c r="L6" s="9"/>
      <c r="M6" s="9"/>
      <c r="N6" s="8"/>
      <c r="O6" s="7"/>
      <c r="P6" s="7"/>
      <c r="Q6" s="7"/>
      <c r="R6" s="15"/>
    </row>
    <row r="7" spans="2:18" x14ac:dyDescent="0.35">
      <c r="B7" s="10">
        <v>5</v>
      </c>
      <c r="C7" s="10" t="s">
        <v>2</v>
      </c>
      <c r="D7" s="11" t="s">
        <v>65</v>
      </c>
      <c r="E7" s="10"/>
      <c r="F7" s="9"/>
      <c r="G7" s="9"/>
      <c r="H7" s="8"/>
      <c r="I7" s="7"/>
      <c r="J7" s="16"/>
      <c r="K7" s="10"/>
      <c r="L7" s="9"/>
      <c r="M7" s="9"/>
      <c r="N7" s="8"/>
      <c r="O7" s="7"/>
      <c r="P7" s="7"/>
      <c r="Q7" s="7"/>
      <c r="R7" s="15"/>
    </row>
    <row r="8" spans="2:18" x14ac:dyDescent="0.35">
      <c r="B8" s="5">
        <v>6</v>
      </c>
      <c r="C8" s="5" t="s">
        <v>82</v>
      </c>
      <c r="D8" s="6" t="s">
        <v>64</v>
      </c>
      <c r="E8" s="5">
        <v>20</v>
      </c>
      <c r="F8" s="4">
        <v>45984</v>
      </c>
      <c r="G8" s="4">
        <v>46003</v>
      </c>
      <c r="H8" s="3">
        <v>0</v>
      </c>
      <c r="I8" s="2">
        <v>470</v>
      </c>
      <c r="J8" s="17">
        <f t="shared" ref="J8:J48" si="0">+I8/E8</f>
        <v>23.5</v>
      </c>
      <c r="K8" s="5">
        <v>7</v>
      </c>
      <c r="L8" s="4">
        <v>46063</v>
      </c>
      <c r="M8" s="4">
        <v>46069</v>
      </c>
      <c r="N8" s="3">
        <v>0.59870000000000001</v>
      </c>
      <c r="O8" s="2">
        <v>470</v>
      </c>
      <c r="P8" s="2">
        <f>+O8-Q8</f>
        <v>313.96000000000004</v>
      </c>
      <c r="Q8" s="2">
        <v>156.03999999999996</v>
      </c>
      <c r="R8" s="15"/>
    </row>
    <row r="9" spans="2:18" x14ac:dyDescent="0.35">
      <c r="B9" s="5">
        <v>6</v>
      </c>
      <c r="C9" s="5" t="s">
        <v>82</v>
      </c>
      <c r="D9" s="6" t="s">
        <v>63</v>
      </c>
      <c r="E9" s="5">
        <v>5</v>
      </c>
      <c r="F9" s="4">
        <v>46004</v>
      </c>
      <c r="G9" s="4">
        <v>46008</v>
      </c>
      <c r="H9" s="3">
        <v>0</v>
      </c>
      <c r="I9" s="2">
        <v>65</v>
      </c>
      <c r="J9" s="17">
        <f t="shared" si="0"/>
        <v>13</v>
      </c>
      <c r="K9" s="5">
        <v>2</v>
      </c>
      <c r="L9" s="4">
        <v>46069</v>
      </c>
      <c r="M9" s="4">
        <v>46071</v>
      </c>
      <c r="N9" s="3">
        <v>0.53359999999999996</v>
      </c>
      <c r="O9" s="2">
        <v>65</v>
      </c>
      <c r="P9" s="2">
        <f t="shared" ref="P9:P48" si="1">+O9-Q9</f>
        <v>45.5</v>
      </c>
      <c r="Q9" s="2">
        <v>19.5</v>
      </c>
      <c r="R9" s="15"/>
    </row>
    <row r="10" spans="2:18" x14ac:dyDescent="0.35">
      <c r="B10" s="10">
        <v>5</v>
      </c>
      <c r="C10" s="10" t="s">
        <v>2</v>
      </c>
      <c r="D10" s="11" t="s">
        <v>62</v>
      </c>
      <c r="E10" s="10"/>
      <c r="F10" s="9"/>
      <c r="G10" s="9"/>
      <c r="H10" s="8"/>
      <c r="I10" s="7"/>
      <c r="J10" s="16"/>
      <c r="K10" s="10"/>
      <c r="L10" s="9"/>
      <c r="M10" s="9"/>
      <c r="N10" s="8"/>
      <c r="O10" s="7"/>
      <c r="P10" s="7"/>
      <c r="Q10" s="7"/>
      <c r="R10" s="15"/>
    </row>
    <row r="11" spans="2:18" x14ac:dyDescent="0.35">
      <c r="B11" s="5">
        <v>6</v>
      </c>
      <c r="C11" s="5" t="s">
        <v>82</v>
      </c>
      <c r="D11" s="6" t="s">
        <v>61</v>
      </c>
      <c r="E11" s="5">
        <v>18</v>
      </c>
      <c r="F11" s="4">
        <v>45835</v>
      </c>
      <c r="G11" s="4">
        <v>45852</v>
      </c>
      <c r="H11" s="3">
        <v>0</v>
      </c>
      <c r="I11" s="2">
        <v>475</v>
      </c>
      <c r="J11" s="17">
        <f t="shared" si="0"/>
        <v>26.388888888888889</v>
      </c>
      <c r="K11" s="5">
        <v>1</v>
      </c>
      <c r="L11" s="4">
        <v>46055</v>
      </c>
      <c r="M11" s="4">
        <v>46055</v>
      </c>
      <c r="N11" s="3">
        <v>0.84899999999999998</v>
      </c>
      <c r="O11" s="2">
        <v>475</v>
      </c>
      <c r="P11" s="2">
        <f t="shared" si="1"/>
        <v>451.25</v>
      </c>
      <c r="Q11" s="2">
        <v>23.75</v>
      </c>
      <c r="R11" s="15"/>
    </row>
    <row r="12" spans="2:18" x14ac:dyDescent="0.35">
      <c r="B12" s="5">
        <v>6</v>
      </c>
      <c r="C12" s="5" t="s">
        <v>82</v>
      </c>
      <c r="D12" s="6" t="s">
        <v>60</v>
      </c>
      <c r="E12" s="5">
        <v>5</v>
      </c>
      <c r="F12" s="4">
        <v>46001</v>
      </c>
      <c r="G12" s="4">
        <v>46005</v>
      </c>
      <c r="H12" s="3">
        <v>0</v>
      </c>
      <c r="I12" s="2">
        <v>140</v>
      </c>
      <c r="J12" s="17">
        <f t="shared" si="0"/>
        <v>28</v>
      </c>
      <c r="K12" s="5">
        <v>5</v>
      </c>
      <c r="L12" s="4">
        <v>46127</v>
      </c>
      <c r="M12" s="4">
        <v>46132</v>
      </c>
      <c r="N12" s="3">
        <v>0.48349999999999999</v>
      </c>
      <c r="O12" s="2">
        <v>140</v>
      </c>
      <c r="P12" s="2">
        <f t="shared" si="1"/>
        <v>75.754000000000005</v>
      </c>
      <c r="Q12" s="2">
        <v>64.245999999999995</v>
      </c>
      <c r="R12" s="15"/>
    </row>
    <row r="13" spans="2:18" x14ac:dyDescent="0.35">
      <c r="B13" s="5">
        <v>6</v>
      </c>
      <c r="C13" s="5" t="s">
        <v>82</v>
      </c>
      <c r="D13" s="6" t="s">
        <v>59</v>
      </c>
      <c r="E13" s="5">
        <v>23</v>
      </c>
      <c r="F13" s="4">
        <v>45947</v>
      </c>
      <c r="G13" s="4">
        <v>45969</v>
      </c>
      <c r="H13" s="3">
        <v>0</v>
      </c>
      <c r="I13" s="2">
        <v>600</v>
      </c>
      <c r="J13" s="17">
        <f t="shared" si="0"/>
        <v>26.086956521739129</v>
      </c>
      <c r="K13" s="5">
        <v>3</v>
      </c>
      <c r="L13" s="4">
        <v>46124</v>
      </c>
      <c r="M13" s="4">
        <v>46127</v>
      </c>
      <c r="N13" s="3">
        <v>0.78969999999999996</v>
      </c>
      <c r="O13" s="2">
        <v>600</v>
      </c>
      <c r="P13" s="2">
        <f t="shared" si="1"/>
        <v>530.22</v>
      </c>
      <c r="Q13" s="2">
        <v>69.779999999999973</v>
      </c>
      <c r="R13" s="15"/>
    </row>
    <row r="14" spans="2:18" x14ac:dyDescent="0.35">
      <c r="B14" s="5">
        <v>6</v>
      </c>
      <c r="C14" s="5" t="s">
        <v>82</v>
      </c>
      <c r="D14" s="6" t="s">
        <v>58</v>
      </c>
      <c r="E14" s="5">
        <v>9</v>
      </c>
      <c r="F14" s="4">
        <v>45860</v>
      </c>
      <c r="G14" s="4">
        <v>45868</v>
      </c>
      <c r="H14" s="3">
        <v>0</v>
      </c>
      <c r="I14" s="2">
        <v>430</v>
      </c>
      <c r="J14" s="17">
        <f t="shared" si="0"/>
        <v>47.777777777777779</v>
      </c>
      <c r="K14" s="5">
        <v>9</v>
      </c>
      <c r="L14" s="4">
        <v>46055</v>
      </c>
      <c r="M14" s="4">
        <v>46063</v>
      </c>
      <c r="N14" s="3">
        <v>0.8609</v>
      </c>
      <c r="O14" s="2">
        <v>430</v>
      </c>
      <c r="P14" s="2">
        <f t="shared" si="1"/>
        <v>414.262</v>
      </c>
      <c r="Q14" s="2">
        <v>15.738</v>
      </c>
      <c r="R14" s="15"/>
    </row>
    <row r="15" spans="2:18" x14ac:dyDescent="0.35">
      <c r="B15" s="5">
        <v>6</v>
      </c>
      <c r="C15" s="5" t="s">
        <v>82</v>
      </c>
      <c r="D15" s="6" t="s">
        <v>57</v>
      </c>
      <c r="E15" s="5">
        <v>5</v>
      </c>
      <c r="F15" s="4">
        <v>45869</v>
      </c>
      <c r="G15" s="4">
        <v>45873</v>
      </c>
      <c r="H15" s="3">
        <v>0</v>
      </c>
      <c r="I15" s="2">
        <v>65</v>
      </c>
      <c r="J15" s="17">
        <f t="shared" si="0"/>
        <v>13</v>
      </c>
      <c r="K15" s="5">
        <v>0</v>
      </c>
      <c r="L15" s="4">
        <v>46055</v>
      </c>
      <c r="M15" s="4">
        <v>46055</v>
      </c>
      <c r="N15" s="3">
        <v>0.81159999999999999</v>
      </c>
      <c r="O15" s="2">
        <v>65</v>
      </c>
      <c r="P15" s="2">
        <f t="shared" si="1"/>
        <v>60.0015</v>
      </c>
      <c r="Q15" s="2">
        <v>4.9984999999999999</v>
      </c>
      <c r="R15" s="15"/>
    </row>
    <row r="16" spans="2:18" x14ac:dyDescent="0.35">
      <c r="B16" s="5">
        <v>6</v>
      </c>
      <c r="C16" s="5" t="s">
        <v>82</v>
      </c>
      <c r="D16" s="6" t="s">
        <v>56</v>
      </c>
      <c r="E16" s="5">
        <v>18</v>
      </c>
      <c r="F16" s="4">
        <v>45893</v>
      </c>
      <c r="G16" s="4">
        <v>45910</v>
      </c>
      <c r="H16" s="3">
        <v>0</v>
      </c>
      <c r="I16" s="2">
        <v>220</v>
      </c>
      <c r="J16" s="17">
        <f t="shared" si="0"/>
        <v>12.222222222222221</v>
      </c>
      <c r="K16" s="5">
        <v>17</v>
      </c>
      <c r="L16" s="4">
        <v>46062</v>
      </c>
      <c r="M16" s="4">
        <v>46079</v>
      </c>
      <c r="N16" s="3">
        <v>6.0900000000000003E-2</v>
      </c>
      <c r="O16" s="2">
        <v>220</v>
      </c>
      <c r="P16" s="2">
        <f t="shared" si="1"/>
        <v>15.003999999999991</v>
      </c>
      <c r="Q16" s="2">
        <v>204.99600000000001</v>
      </c>
      <c r="R16" s="15"/>
    </row>
    <row r="17" spans="2:18" x14ac:dyDescent="0.35">
      <c r="B17" s="5">
        <v>6</v>
      </c>
      <c r="C17" s="5" t="s">
        <v>82</v>
      </c>
      <c r="D17" s="6" t="s">
        <v>55</v>
      </c>
      <c r="E17" s="5">
        <v>5</v>
      </c>
      <c r="F17" s="4">
        <v>45911</v>
      </c>
      <c r="G17" s="4">
        <v>45915</v>
      </c>
      <c r="H17" s="12">
        <v>0</v>
      </c>
      <c r="I17" s="2">
        <v>60</v>
      </c>
      <c r="J17" s="17">
        <f t="shared" si="0"/>
        <v>12</v>
      </c>
      <c r="K17" s="5">
        <v>5</v>
      </c>
      <c r="L17" s="4">
        <v>46090</v>
      </c>
      <c r="M17" s="4">
        <v>46094</v>
      </c>
      <c r="N17" s="12">
        <v>0</v>
      </c>
      <c r="O17" s="2">
        <v>60</v>
      </c>
      <c r="P17" s="2">
        <f t="shared" si="1"/>
        <v>0</v>
      </c>
      <c r="Q17" s="2">
        <v>60</v>
      </c>
      <c r="R17" s="15"/>
    </row>
    <row r="18" spans="2:18" x14ac:dyDescent="0.35">
      <c r="B18" s="5">
        <v>6</v>
      </c>
      <c r="C18" s="5" t="s">
        <v>82</v>
      </c>
      <c r="D18" s="6" t="s">
        <v>54</v>
      </c>
      <c r="E18" s="5">
        <v>5</v>
      </c>
      <c r="F18" s="4">
        <v>45916</v>
      </c>
      <c r="G18" s="4">
        <v>45920</v>
      </c>
      <c r="H18" s="3">
        <v>0</v>
      </c>
      <c r="I18" s="2">
        <v>120</v>
      </c>
      <c r="J18" s="17">
        <f t="shared" si="0"/>
        <v>24</v>
      </c>
      <c r="K18" s="5">
        <v>5</v>
      </c>
      <c r="L18" s="4">
        <v>46095</v>
      </c>
      <c r="M18" s="4">
        <v>46099</v>
      </c>
      <c r="N18" s="3">
        <v>2.6800000000000001E-2</v>
      </c>
      <c r="O18" s="2">
        <v>120</v>
      </c>
      <c r="P18" s="2">
        <f t="shared" si="1"/>
        <v>3.5999999999999943</v>
      </c>
      <c r="Q18" s="2">
        <v>116.4</v>
      </c>
      <c r="R18" s="15"/>
    </row>
    <row r="19" spans="2:18" x14ac:dyDescent="0.35">
      <c r="B19" s="5">
        <v>6</v>
      </c>
      <c r="C19" s="5" t="s">
        <v>82</v>
      </c>
      <c r="D19" s="6" t="s">
        <v>53</v>
      </c>
      <c r="E19" s="5">
        <v>5</v>
      </c>
      <c r="F19" s="4">
        <v>45921</v>
      </c>
      <c r="G19" s="4">
        <v>45925</v>
      </c>
      <c r="H19" s="12">
        <v>0</v>
      </c>
      <c r="I19" s="2">
        <v>50</v>
      </c>
      <c r="J19" s="17">
        <f t="shared" si="0"/>
        <v>10</v>
      </c>
      <c r="K19" s="5">
        <v>5</v>
      </c>
      <c r="L19" s="4">
        <v>46099</v>
      </c>
      <c r="M19" s="4">
        <v>46104</v>
      </c>
      <c r="N19" s="12">
        <v>0</v>
      </c>
      <c r="O19" s="2">
        <v>50</v>
      </c>
      <c r="P19" s="2">
        <f t="shared" si="1"/>
        <v>0</v>
      </c>
      <c r="Q19" s="2">
        <v>50</v>
      </c>
      <c r="R19" s="15"/>
    </row>
    <row r="20" spans="2:18" x14ac:dyDescent="0.35">
      <c r="B20" s="5">
        <v>6</v>
      </c>
      <c r="C20" s="5" t="s">
        <v>82</v>
      </c>
      <c r="D20" s="6" t="s">
        <v>52</v>
      </c>
      <c r="E20" s="5">
        <v>14</v>
      </c>
      <c r="F20" s="4">
        <v>45926</v>
      </c>
      <c r="G20" s="4">
        <v>45939</v>
      </c>
      <c r="H20" s="12">
        <v>0</v>
      </c>
      <c r="I20" s="2">
        <v>670</v>
      </c>
      <c r="J20" s="17">
        <f t="shared" si="0"/>
        <v>47.857142857142854</v>
      </c>
      <c r="K20" s="5">
        <v>13</v>
      </c>
      <c r="L20" s="4">
        <v>46104</v>
      </c>
      <c r="M20" s="4">
        <v>46117</v>
      </c>
      <c r="N20" s="12">
        <v>0.06</v>
      </c>
      <c r="O20" s="2">
        <v>670</v>
      </c>
      <c r="P20" s="2">
        <f t="shared" si="1"/>
        <v>45.024000000000001</v>
      </c>
      <c r="Q20" s="2">
        <v>624.976</v>
      </c>
      <c r="R20" s="15"/>
    </row>
    <row r="21" spans="2:18" x14ac:dyDescent="0.35">
      <c r="B21" s="10">
        <v>5</v>
      </c>
      <c r="C21" s="10" t="s">
        <v>2</v>
      </c>
      <c r="D21" s="11" t="s">
        <v>51</v>
      </c>
      <c r="E21" s="10"/>
      <c r="F21" s="9"/>
      <c r="G21" s="9"/>
      <c r="H21" s="8"/>
      <c r="I21" s="7"/>
      <c r="J21" s="16"/>
      <c r="K21" s="10"/>
      <c r="L21" s="9"/>
      <c r="M21" s="9"/>
      <c r="N21" s="8"/>
      <c r="O21" s="7"/>
      <c r="P21" s="7"/>
      <c r="Q21" s="7"/>
      <c r="R21" s="15"/>
    </row>
    <row r="22" spans="2:18" x14ac:dyDescent="0.35">
      <c r="B22" s="5">
        <v>6</v>
      </c>
      <c r="C22" s="5" t="s">
        <v>82</v>
      </c>
      <c r="D22" s="6" t="s">
        <v>50</v>
      </c>
      <c r="E22" s="5">
        <v>20</v>
      </c>
      <c r="F22" s="4">
        <v>45946</v>
      </c>
      <c r="G22" s="4">
        <v>45965</v>
      </c>
      <c r="H22" s="3">
        <v>0</v>
      </c>
      <c r="I22" s="2">
        <v>230</v>
      </c>
      <c r="J22" s="17">
        <f t="shared" si="0"/>
        <v>11.5</v>
      </c>
      <c r="K22" s="5">
        <v>8</v>
      </c>
      <c r="L22" s="4">
        <v>46055</v>
      </c>
      <c r="M22" s="4">
        <v>46063</v>
      </c>
      <c r="N22" s="3">
        <v>0.58930000000000005</v>
      </c>
      <c r="O22" s="2">
        <v>230</v>
      </c>
      <c r="P22" s="2">
        <f t="shared" si="1"/>
        <v>151.50099999999998</v>
      </c>
      <c r="Q22" s="2">
        <v>78.499000000000024</v>
      </c>
      <c r="R22" s="15"/>
    </row>
    <row r="23" spans="2:18" x14ac:dyDescent="0.35">
      <c r="B23" s="5">
        <v>6</v>
      </c>
      <c r="C23" s="5" t="s">
        <v>82</v>
      </c>
      <c r="D23" s="6" t="s">
        <v>49</v>
      </c>
      <c r="E23" s="5">
        <v>45</v>
      </c>
      <c r="F23" s="4">
        <v>45901</v>
      </c>
      <c r="G23" s="4">
        <v>45945</v>
      </c>
      <c r="H23" s="3">
        <v>0</v>
      </c>
      <c r="I23" s="2">
        <v>525</v>
      </c>
      <c r="J23" s="17">
        <f t="shared" si="0"/>
        <v>11.666666666666666</v>
      </c>
      <c r="K23" s="5">
        <v>45</v>
      </c>
      <c r="L23" s="4">
        <v>46055</v>
      </c>
      <c r="M23" s="4">
        <v>46099</v>
      </c>
      <c r="N23" s="3">
        <v>0.71719999999999995</v>
      </c>
      <c r="O23" s="2">
        <v>525</v>
      </c>
      <c r="P23" s="2">
        <f t="shared" si="1"/>
        <v>420.94499999999999</v>
      </c>
      <c r="Q23" s="2">
        <v>104.05500000000001</v>
      </c>
      <c r="R23" s="15"/>
    </row>
    <row r="24" spans="2:18" x14ac:dyDescent="0.35">
      <c r="B24" s="5">
        <v>6</v>
      </c>
      <c r="C24" s="5" t="s">
        <v>82</v>
      </c>
      <c r="D24" s="6" t="s">
        <v>48</v>
      </c>
      <c r="E24" s="5">
        <v>30</v>
      </c>
      <c r="F24" s="4">
        <v>45871</v>
      </c>
      <c r="G24" s="4">
        <v>45900</v>
      </c>
      <c r="H24" s="3">
        <v>0</v>
      </c>
      <c r="I24" s="2">
        <v>743</v>
      </c>
      <c r="J24" s="17">
        <f t="shared" si="0"/>
        <v>24.766666666666666</v>
      </c>
      <c r="K24" s="5">
        <v>30</v>
      </c>
      <c r="L24" s="4">
        <v>46055</v>
      </c>
      <c r="M24" s="4">
        <v>46084</v>
      </c>
      <c r="N24" s="3">
        <v>0.8669</v>
      </c>
      <c r="O24" s="2">
        <v>743</v>
      </c>
      <c r="P24" s="2">
        <f t="shared" si="1"/>
        <v>719.96699999999998</v>
      </c>
      <c r="Q24" s="2">
        <v>23.033000000000015</v>
      </c>
      <c r="R24" s="15"/>
    </row>
    <row r="25" spans="2:18" x14ac:dyDescent="0.35">
      <c r="B25" s="10">
        <v>5</v>
      </c>
      <c r="C25" s="10" t="s">
        <v>2</v>
      </c>
      <c r="D25" s="11" t="s">
        <v>47</v>
      </c>
      <c r="E25" s="10"/>
      <c r="F25" s="9"/>
      <c r="G25" s="9"/>
      <c r="H25" s="8"/>
      <c r="I25" s="7"/>
      <c r="J25" s="16"/>
      <c r="K25" s="10"/>
      <c r="L25" s="9"/>
      <c r="M25" s="9"/>
      <c r="N25" s="8"/>
      <c r="O25" s="7"/>
      <c r="P25" s="7"/>
      <c r="Q25" s="7"/>
      <c r="R25" s="15"/>
    </row>
    <row r="26" spans="2:18" x14ac:dyDescent="0.35">
      <c r="B26" s="5">
        <v>6</v>
      </c>
      <c r="C26" s="5" t="s">
        <v>82</v>
      </c>
      <c r="D26" s="6" t="s">
        <v>46</v>
      </c>
      <c r="E26" s="5">
        <v>174</v>
      </c>
      <c r="F26" s="4">
        <v>45813</v>
      </c>
      <c r="G26" s="4">
        <v>45986</v>
      </c>
      <c r="H26" s="3">
        <v>0</v>
      </c>
      <c r="I26" s="2">
        <v>1580</v>
      </c>
      <c r="J26" s="17">
        <f t="shared" si="0"/>
        <v>9.0804597701149419</v>
      </c>
      <c r="K26" s="5">
        <v>2</v>
      </c>
      <c r="L26" s="4">
        <v>46055</v>
      </c>
      <c r="M26" s="4">
        <v>46056</v>
      </c>
      <c r="N26" s="3">
        <v>0.67169999999999996</v>
      </c>
      <c r="O26" s="2">
        <v>1580</v>
      </c>
      <c r="P26" s="2">
        <f t="shared" si="1"/>
        <v>1390.4</v>
      </c>
      <c r="Q26" s="2">
        <v>189.59999999999991</v>
      </c>
      <c r="R26" s="15"/>
    </row>
    <row r="27" spans="2:18" x14ac:dyDescent="0.35">
      <c r="B27" s="10">
        <v>5</v>
      </c>
      <c r="C27" s="10" t="s">
        <v>2</v>
      </c>
      <c r="D27" s="11" t="s">
        <v>45</v>
      </c>
      <c r="E27" s="10"/>
      <c r="F27" s="9"/>
      <c r="G27" s="9"/>
      <c r="H27" s="8"/>
      <c r="I27" s="7"/>
      <c r="J27" s="16"/>
      <c r="K27" s="10"/>
      <c r="L27" s="9"/>
      <c r="M27" s="9"/>
      <c r="N27" s="8"/>
      <c r="O27" s="7"/>
      <c r="P27" s="7"/>
      <c r="Q27" s="7"/>
      <c r="R27" s="15"/>
    </row>
    <row r="28" spans="2:18" x14ac:dyDescent="0.35">
      <c r="B28" s="5">
        <v>6</v>
      </c>
      <c r="C28" s="5" t="s">
        <v>82</v>
      </c>
      <c r="D28" s="6" t="s">
        <v>44</v>
      </c>
      <c r="E28" s="5">
        <v>40</v>
      </c>
      <c r="F28" s="4">
        <v>45955</v>
      </c>
      <c r="G28" s="4">
        <v>45994</v>
      </c>
      <c r="H28" s="3">
        <v>0</v>
      </c>
      <c r="I28" s="2">
        <v>235</v>
      </c>
      <c r="J28" s="17">
        <f t="shared" si="0"/>
        <v>5.875</v>
      </c>
      <c r="K28" s="5">
        <v>4</v>
      </c>
      <c r="L28" s="4">
        <v>46055</v>
      </c>
      <c r="M28" s="4">
        <v>46058</v>
      </c>
      <c r="N28" s="3">
        <v>0.81610000000000005</v>
      </c>
      <c r="O28" s="2">
        <v>235</v>
      </c>
      <c r="P28" s="2">
        <f t="shared" si="1"/>
        <v>213.99099999999999</v>
      </c>
      <c r="Q28" s="2">
        <v>21.009000000000015</v>
      </c>
      <c r="R28" s="15"/>
    </row>
    <row r="29" spans="2:18" x14ac:dyDescent="0.35">
      <c r="B29" s="5">
        <v>6</v>
      </c>
      <c r="C29" s="5" t="s">
        <v>82</v>
      </c>
      <c r="D29" s="6" t="s">
        <v>43</v>
      </c>
      <c r="E29" s="5">
        <v>16</v>
      </c>
      <c r="F29" s="4">
        <v>45995</v>
      </c>
      <c r="G29" s="4">
        <v>46010</v>
      </c>
      <c r="H29" s="3">
        <v>0</v>
      </c>
      <c r="I29" s="2">
        <v>205</v>
      </c>
      <c r="J29" s="17">
        <f t="shared" si="0"/>
        <v>12.8125</v>
      </c>
      <c r="K29" s="5">
        <v>4</v>
      </c>
      <c r="L29" s="4">
        <v>46058</v>
      </c>
      <c r="M29" s="4">
        <v>46062</v>
      </c>
      <c r="N29" s="3">
        <v>0.67320000000000002</v>
      </c>
      <c r="O29" s="2">
        <v>205</v>
      </c>
      <c r="P29" s="2">
        <f t="shared" si="1"/>
        <v>153.99600000000001</v>
      </c>
      <c r="Q29" s="2">
        <v>51.003999999999991</v>
      </c>
      <c r="R29" s="15"/>
    </row>
    <row r="30" spans="2:18" x14ac:dyDescent="0.35">
      <c r="B30" s="10">
        <v>5</v>
      </c>
      <c r="C30" s="10" t="s">
        <v>2</v>
      </c>
      <c r="D30" s="11" t="s">
        <v>42</v>
      </c>
      <c r="E30" s="10"/>
      <c r="F30" s="9"/>
      <c r="G30" s="9"/>
      <c r="H30" s="8"/>
      <c r="I30" s="7"/>
      <c r="J30" s="16"/>
      <c r="K30" s="10"/>
      <c r="L30" s="9"/>
      <c r="M30" s="9"/>
      <c r="N30" s="8"/>
      <c r="O30" s="7"/>
      <c r="P30" s="7"/>
      <c r="Q30" s="7"/>
      <c r="R30" s="15"/>
    </row>
    <row r="31" spans="2:18" x14ac:dyDescent="0.35">
      <c r="B31" s="5">
        <v>6</v>
      </c>
      <c r="C31" s="5" t="s">
        <v>82</v>
      </c>
      <c r="D31" s="6" t="s">
        <v>41</v>
      </c>
      <c r="E31" s="5">
        <v>158</v>
      </c>
      <c r="F31" s="4">
        <v>45856</v>
      </c>
      <c r="G31" s="4">
        <v>46013</v>
      </c>
      <c r="H31" s="3">
        <v>0</v>
      </c>
      <c r="I31" s="2">
        <v>1920</v>
      </c>
      <c r="J31" s="17">
        <f t="shared" si="0"/>
        <v>12.151898734177216</v>
      </c>
      <c r="K31" s="5">
        <v>156</v>
      </c>
      <c r="L31" s="4">
        <v>46055</v>
      </c>
      <c r="M31" s="4">
        <v>46210</v>
      </c>
      <c r="N31" s="3">
        <v>0.79690000000000005</v>
      </c>
      <c r="O31" s="2">
        <v>1920</v>
      </c>
      <c r="P31" s="2">
        <f t="shared" si="1"/>
        <v>1809.6</v>
      </c>
      <c r="Q31" s="2">
        <v>110.40000000000009</v>
      </c>
      <c r="R31" s="15"/>
    </row>
    <row r="32" spans="2:18" x14ac:dyDescent="0.35">
      <c r="B32" s="5">
        <v>6</v>
      </c>
      <c r="C32" s="5" t="s">
        <v>82</v>
      </c>
      <c r="D32" s="6" t="s">
        <v>40</v>
      </c>
      <c r="E32" s="5">
        <v>16</v>
      </c>
      <c r="F32" s="4">
        <v>45987</v>
      </c>
      <c r="G32" s="4">
        <v>46002</v>
      </c>
      <c r="H32" s="12">
        <v>0</v>
      </c>
      <c r="I32" s="2">
        <v>190</v>
      </c>
      <c r="J32" s="17">
        <f t="shared" si="0"/>
        <v>11.875</v>
      </c>
      <c r="K32" s="5">
        <v>16</v>
      </c>
      <c r="L32" s="4">
        <v>46066</v>
      </c>
      <c r="M32" s="4">
        <v>46082</v>
      </c>
      <c r="N32" s="12">
        <v>0</v>
      </c>
      <c r="O32" s="2">
        <v>190</v>
      </c>
      <c r="P32" s="2">
        <f t="shared" si="1"/>
        <v>0</v>
      </c>
      <c r="Q32" s="2">
        <v>190</v>
      </c>
      <c r="R32" s="15"/>
    </row>
    <row r="33" spans="2:18" x14ac:dyDescent="0.35">
      <c r="B33" s="5">
        <v>6</v>
      </c>
      <c r="C33" s="5" t="s">
        <v>82</v>
      </c>
      <c r="D33" s="6" t="s">
        <v>39</v>
      </c>
      <c r="E33" s="5">
        <v>74</v>
      </c>
      <c r="F33" s="4">
        <v>45940</v>
      </c>
      <c r="G33" s="4">
        <v>46013</v>
      </c>
      <c r="H33" s="12">
        <v>0</v>
      </c>
      <c r="I33" s="2">
        <v>890</v>
      </c>
      <c r="J33" s="17">
        <f t="shared" si="0"/>
        <v>12.027027027027026</v>
      </c>
      <c r="K33" s="5">
        <v>74</v>
      </c>
      <c r="L33" s="4">
        <v>46065</v>
      </c>
      <c r="M33" s="4">
        <v>46138</v>
      </c>
      <c r="N33" s="12">
        <v>0</v>
      </c>
      <c r="O33" s="2">
        <v>890</v>
      </c>
      <c r="P33" s="2">
        <f t="shared" si="1"/>
        <v>0</v>
      </c>
      <c r="Q33" s="2">
        <v>890</v>
      </c>
      <c r="R33" s="15"/>
    </row>
    <row r="34" spans="2:18" x14ac:dyDescent="0.35">
      <c r="B34" s="10">
        <v>5</v>
      </c>
      <c r="C34" s="10" t="s">
        <v>2</v>
      </c>
      <c r="D34" s="11" t="s">
        <v>38</v>
      </c>
      <c r="E34" s="10"/>
      <c r="F34" s="9"/>
      <c r="G34" s="9"/>
      <c r="H34" s="8"/>
      <c r="I34" s="7"/>
      <c r="J34" s="16"/>
      <c r="K34" s="10"/>
      <c r="L34" s="9"/>
      <c r="M34" s="9"/>
      <c r="N34" s="8"/>
      <c r="O34" s="7"/>
      <c r="P34" s="7"/>
      <c r="Q34" s="7"/>
      <c r="R34" s="15"/>
    </row>
    <row r="35" spans="2:18" x14ac:dyDescent="0.35">
      <c r="B35" s="5">
        <v>6</v>
      </c>
      <c r="C35" s="5" t="s">
        <v>82</v>
      </c>
      <c r="D35" s="6" t="s">
        <v>37</v>
      </c>
      <c r="E35" s="5">
        <v>73</v>
      </c>
      <c r="F35" s="4">
        <v>45941</v>
      </c>
      <c r="G35" s="4">
        <v>46013</v>
      </c>
      <c r="H35" s="3">
        <v>0</v>
      </c>
      <c r="I35" s="2">
        <v>570</v>
      </c>
      <c r="J35" s="17">
        <f t="shared" si="0"/>
        <v>7.8082191780821919</v>
      </c>
      <c r="K35" s="5">
        <v>51</v>
      </c>
      <c r="L35" s="4">
        <v>46055</v>
      </c>
      <c r="M35" s="4">
        <v>46106</v>
      </c>
      <c r="N35" s="3">
        <v>0.49480000000000002</v>
      </c>
      <c r="O35" s="2">
        <v>570</v>
      </c>
      <c r="P35" s="2">
        <f t="shared" si="1"/>
        <v>314.697</v>
      </c>
      <c r="Q35" s="2">
        <v>255.303</v>
      </c>
      <c r="R35" s="15"/>
    </row>
    <row r="36" spans="2:18" x14ac:dyDescent="0.35">
      <c r="B36" s="5">
        <v>6</v>
      </c>
      <c r="C36" s="5" t="s">
        <v>82</v>
      </c>
      <c r="D36" s="6" t="s">
        <v>36</v>
      </c>
      <c r="E36" s="5">
        <v>5</v>
      </c>
      <c r="F36" s="4">
        <v>45959</v>
      </c>
      <c r="G36" s="4">
        <v>45963</v>
      </c>
      <c r="H36" s="3">
        <v>0</v>
      </c>
      <c r="I36" s="2">
        <v>50</v>
      </c>
      <c r="J36" s="17">
        <f t="shared" si="0"/>
        <v>10</v>
      </c>
      <c r="K36" s="5">
        <v>3</v>
      </c>
      <c r="L36" s="4">
        <v>46094</v>
      </c>
      <c r="M36" s="4">
        <v>46097</v>
      </c>
      <c r="N36" s="3">
        <v>0.43020000000000003</v>
      </c>
      <c r="O36" s="2">
        <v>50</v>
      </c>
      <c r="P36" s="2">
        <f t="shared" si="1"/>
        <v>24</v>
      </c>
      <c r="Q36" s="2">
        <v>26</v>
      </c>
      <c r="R36" s="15"/>
    </row>
    <row r="37" spans="2:18" x14ac:dyDescent="0.35">
      <c r="B37" s="5">
        <v>6</v>
      </c>
      <c r="C37" s="5" t="s">
        <v>82</v>
      </c>
      <c r="D37" s="6" t="s">
        <v>35</v>
      </c>
      <c r="E37" s="5">
        <v>90</v>
      </c>
      <c r="F37" s="4">
        <v>45856</v>
      </c>
      <c r="G37" s="4">
        <v>45945</v>
      </c>
      <c r="H37" s="3">
        <v>0</v>
      </c>
      <c r="I37" s="2">
        <v>430</v>
      </c>
      <c r="J37" s="17">
        <f t="shared" si="0"/>
        <v>4.7777777777777777</v>
      </c>
      <c r="K37" s="5">
        <v>40</v>
      </c>
      <c r="L37" s="4">
        <v>46055</v>
      </c>
      <c r="M37" s="4">
        <v>46094</v>
      </c>
      <c r="N37" s="3">
        <v>0.49919999999999998</v>
      </c>
      <c r="O37" s="2">
        <v>430</v>
      </c>
      <c r="P37" s="2">
        <f t="shared" si="1"/>
        <v>239.51000000000002</v>
      </c>
      <c r="Q37" s="2">
        <v>190.48999999999998</v>
      </c>
      <c r="R37" s="15"/>
    </row>
    <row r="38" spans="2:18" x14ac:dyDescent="0.35">
      <c r="B38" s="5">
        <v>6</v>
      </c>
      <c r="C38" s="5" t="s">
        <v>82</v>
      </c>
      <c r="D38" s="6" t="s">
        <v>34</v>
      </c>
      <c r="E38" s="5">
        <v>5</v>
      </c>
      <c r="F38" s="4">
        <v>45964</v>
      </c>
      <c r="G38" s="4">
        <v>45968</v>
      </c>
      <c r="H38" s="3">
        <v>0</v>
      </c>
      <c r="I38" s="2">
        <v>140</v>
      </c>
      <c r="J38" s="17">
        <f t="shared" si="0"/>
        <v>28</v>
      </c>
      <c r="K38" s="5">
        <v>5</v>
      </c>
      <c r="L38" s="4">
        <v>46097</v>
      </c>
      <c r="M38" s="4">
        <v>46102</v>
      </c>
      <c r="N38" s="3">
        <v>0.7651</v>
      </c>
      <c r="O38" s="2">
        <v>140</v>
      </c>
      <c r="P38" s="2">
        <f t="shared" si="1"/>
        <v>136.346</v>
      </c>
      <c r="Q38" s="2">
        <v>3.6539999999999964</v>
      </c>
      <c r="R38" s="15"/>
    </row>
    <row r="39" spans="2:18" x14ac:dyDescent="0.35">
      <c r="B39" s="5">
        <v>6</v>
      </c>
      <c r="C39" s="5" t="s">
        <v>82</v>
      </c>
      <c r="D39" s="6" t="s">
        <v>33</v>
      </c>
      <c r="E39" s="5">
        <v>15</v>
      </c>
      <c r="F39" s="4">
        <v>45978</v>
      </c>
      <c r="G39" s="4">
        <v>45992</v>
      </c>
      <c r="H39" s="3">
        <v>0</v>
      </c>
      <c r="I39" s="2">
        <v>180</v>
      </c>
      <c r="J39" s="17">
        <f t="shared" si="0"/>
        <v>12</v>
      </c>
      <c r="K39" s="5">
        <v>11</v>
      </c>
      <c r="L39" s="4">
        <v>46074</v>
      </c>
      <c r="M39" s="4">
        <v>46085</v>
      </c>
      <c r="N39" s="3">
        <v>0.2203</v>
      </c>
      <c r="O39" s="2">
        <v>180</v>
      </c>
      <c r="P39" s="2">
        <f t="shared" si="1"/>
        <v>45</v>
      </c>
      <c r="Q39" s="2">
        <v>135</v>
      </c>
      <c r="R39" s="15"/>
    </row>
    <row r="40" spans="2:18" x14ac:dyDescent="0.35">
      <c r="B40" s="5">
        <v>6</v>
      </c>
      <c r="C40" s="5" t="s">
        <v>82</v>
      </c>
      <c r="D40" s="6" t="s">
        <v>32</v>
      </c>
      <c r="E40" s="5">
        <v>21</v>
      </c>
      <c r="F40" s="4">
        <v>45993</v>
      </c>
      <c r="G40" s="4">
        <v>46013</v>
      </c>
      <c r="H40" s="3">
        <v>0</v>
      </c>
      <c r="I40" s="2">
        <v>152</v>
      </c>
      <c r="J40" s="17">
        <f t="shared" si="0"/>
        <v>7.2380952380952381</v>
      </c>
      <c r="K40" s="5">
        <v>20</v>
      </c>
      <c r="L40" s="4">
        <v>46085</v>
      </c>
      <c r="M40" s="4">
        <v>46105</v>
      </c>
      <c r="N40" s="3">
        <v>3.1199999999999999E-2</v>
      </c>
      <c r="O40" s="2">
        <v>152</v>
      </c>
      <c r="P40" s="2">
        <f t="shared" si="1"/>
        <v>7.4935999999999865</v>
      </c>
      <c r="Q40" s="2">
        <v>144.50640000000001</v>
      </c>
      <c r="R40" s="15"/>
    </row>
    <row r="41" spans="2:18" x14ac:dyDescent="0.35">
      <c r="B41" s="5">
        <v>6</v>
      </c>
      <c r="C41" s="5" t="s">
        <v>82</v>
      </c>
      <c r="D41" s="6" t="s">
        <v>31</v>
      </c>
      <c r="E41" s="5">
        <v>128</v>
      </c>
      <c r="F41" s="4">
        <v>45886</v>
      </c>
      <c r="G41" s="4">
        <v>46013</v>
      </c>
      <c r="H41" s="3">
        <v>0</v>
      </c>
      <c r="I41" s="2">
        <v>608</v>
      </c>
      <c r="J41" s="17">
        <f t="shared" si="0"/>
        <v>4.75</v>
      </c>
      <c r="K41" s="5">
        <v>117</v>
      </c>
      <c r="L41" s="4">
        <v>46055</v>
      </c>
      <c r="M41" s="4">
        <v>46171</v>
      </c>
      <c r="N41" s="3">
        <v>0.78049999999999997</v>
      </c>
      <c r="O41" s="2">
        <v>608</v>
      </c>
      <c r="P41" s="2">
        <f t="shared" si="1"/>
        <v>543.24799999999993</v>
      </c>
      <c r="Q41" s="2">
        <v>64.752000000000066</v>
      </c>
      <c r="R41" s="15"/>
    </row>
    <row r="42" spans="2:18" x14ac:dyDescent="0.35">
      <c r="B42" s="5">
        <v>6</v>
      </c>
      <c r="C42" s="5" t="s">
        <v>82</v>
      </c>
      <c r="D42" s="6" t="s">
        <v>30</v>
      </c>
      <c r="E42" s="5">
        <v>30</v>
      </c>
      <c r="F42" s="4">
        <v>45954</v>
      </c>
      <c r="G42" s="4">
        <v>45983</v>
      </c>
      <c r="H42" s="3">
        <v>0</v>
      </c>
      <c r="I42" s="2">
        <v>100</v>
      </c>
      <c r="J42" s="17">
        <f t="shared" si="0"/>
        <v>3.3333333333333335</v>
      </c>
      <c r="K42" s="5">
        <v>21</v>
      </c>
      <c r="L42" s="4">
        <v>46055</v>
      </c>
      <c r="M42" s="4">
        <v>46075</v>
      </c>
      <c r="N42" s="3">
        <v>0.26889999999999997</v>
      </c>
      <c r="O42" s="2">
        <v>100</v>
      </c>
      <c r="P42" s="2">
        <f t="shared" si="1"/>
        <v>30</v>
      </c>
      <c r="Q42" s="2">
        <v>70</v>
      </c>
      <c r="R42" s="15"/>
    </row>
    <row r="43" spans="2:18" x14ac:dyDescent="0.35">
      <c r="B43" s="5">
        <v>6</v>
      </c>
      <c r="C43" s="5" t="s">
        <v>82</v>
      </c>
      <c r="D43" s="6" t="s">
        <v>29</v>
      </c>
      <c r="E43" s="5">
        <v>60</v>
      </c>
      <c r="F43" s="4">
        <v>45954</v>
      </c>
      <c r="G43" s="4">
        <v>46013</v>
      </c>
      <c r="H43" s="3">
        <v>0</v>
      </c>
      <c r="I43" s="2">
        <v>281</v>
      </c>
      <c r="J43" s="17">
        <f t="shared" si="0"/>
        <v>4.6833333333333336</v>
      </c>
      <c r="K43" s="5">
        <v>47</v>
      </c>
      <c r="L43" s="4">
        <v>46056</v>
      </c>
      <c r="M43" s="4">
        <v>46104</v>
      </c>
      <c r="N43" s="3">
        <v>0.15479999999999999</v>
      </c>
      <c r="O43" s="2">
        <v>281</v>
      </c>
      <c r="P43" s="2">
        <f t="shared" si="1"/>
        <v>59.993499999999983</v>
      </c>
      <c r="Q43" s="2">
        <v>221.00650000000002</v>
      </c>
      <c r="R43" s="15"/>
    </row>
    <row r="44" spans="2:18" x14ac:dyDescent="0.35">
      <c r="B44" s="5">
        <v>6</v>
      </c>
      <c r="C44" s="5" t="s">
        <v>82</v>
      </c>
      <c r="D44" s="6" t="s">
        <v>28</v>
      </c>
      <c r="E44" s="5">
        <v>50</v>
      </c>
      <c r="F44" s="4">
        <v>45904</v>
      </c>
      <c r="G44" s="4">
        <v>45953</v>
      </c>
      <c r="H44" s="3">
        <v>0</v>
      </c>
      <c r="I44" s="2">
        <v>229</v>
      </c>
      <c r="J44" s="17">
        <f t="shared" si="0"/>
        <v>4.58</v>
      </c>
      <c r="K44" s="5">
        <v>2</v>
      </c>
      <c r="L44" s="4">
        <v>46055</v>
      </c>
      <c r="M44" s="4">
        <v>46056</v>
      </c>
      <c r="N44" s="3">
        <v>0.65639999999999998</v>
      </c>
      <c r="O44" s="2">
        <v>229</v>
      </c>
      <c r="P44" s="2">
        <f t="shared" si="1"/>
        <v>220.27510000000001</v>
      </c>
      <c r="Q44" s="2">
        <v>8.724899999999991</v>
      </c>
      <c r="R44" s="15"/>
    </row>
    <row r="45" spans="2:18" x14ac:dyDescent="0.35">
      <c r="B45" s="5">
        <v>6</v>
      </c>
      <c r="C45" s="5" t="s">
        <v>82</v>
      </c>
      <c r="D45" s="6" t="s">
        <v>27</v>
      </c>
      <c r="E45" s="5">
        <v>7</v>
      </c>
      <c r="F45" s="4">
        <v>45915</v>
      </c>
      <c r="G45" s="4">
        <v>45921</v>
      </c>
      <c r="H45" s="3">
        <v>0</v>
      </c>
      <c r="I45" s="2">
        <v>117</v>
      </c>
      <c r="J45" s="17">
        <f t="shared" si="0"/>
        <v>16.714285714285715</v>
      </c>
      <c r="K45" s="5">
        <v>0</v>
      </c>
      <c r="L45" s="4">
        <v>46055</v>
      </c>
      <c r="M45" s="4">
        <v>46055</v>
      </c>
      <c r="N45" s="3">
        <v>0.84060000000000001</v>
      </c>
      <c r="O45" s="2">
        <v>117</v>
      </c>
      <c r="P45" s="2">
        <f t="shared" si="1"/>
        <v>111.14999999999999</v>
      </c>
      <c r="Q45" s="2">
        <v>5.8500000000000085</v>
      </c>
      <c r="R45" s="15"/>
    </row>
    <row r="46" spans="2:18" x14ac:dyDescent="0.35">
      <c r="B46" s="5">
        <v>6</v>
      </c>
      <c r="C46" s="5" t="s">
        <v>82</v>
      </c>
      <c r="D46" s="6" t="s">
        <v>26</v>
      </c>
      <c r="E46" s="5">
        <v>5</v>
      </c>
      <c r="F46" s="4">
        <v>45922</v>
      </c>
      <c r="G46" s="4">
        <v>45926</v>
      </c>
      <c r="H46" s="3">
        <v>0</v>
      </c>
      <c r="I46" s="2">
        <v>26</v>
      </c>
      <c r="J46" s="17">
        <f t="shared" si="0"/>
        <v>5.2</v>
      </c>
      <c r="K46" s="5">
        <v>5</v>
      </c>
      <c r="L46" s="4">
        <v>46055</v>
      </c>
      <c r="M46" s="4">
        <v>46060</v>
      </c>
      <c r="N46" s="3">
        <v>0.5534</v>
      </c>
      <c r="O46" s="2">
        <v>26</v>
      </c>
      <c r="P46" s="2">
        <f t="shared" si="1"/>
        <v>17.630600000000001</v>
      </c>
      <c r="Q46" s="2">
        <v>8.3693999999999988</v>
      </c>
      <c r="R46" s="15"/>
    </row>
    <row r="47" spans="2:18" x14ac:dyDescent="0.35">
      <c r="B47" s="5">
        <v>6</v>
      </c>
      <c r="C47" s="5" t="s">
        <v>82</v>
      </c>
      <c r="D47" s="6" t="s">
        <v>25</v>
      </c>
      <c r="E47" s="5">
        <v>7</v>
      </c>
      <c r="F47" s="4">
        <v>45927</v>
      </c>
      <c r="G47" s="4">
        <v>45933</v>
      </c>
      <c r="H47" s="3">
        <v>0</v>
      </c>
      <c r="I47" s="2">
        <v>219</v>
      </c>
      <c r="J47" s="17">
        <f t="shared" si="0"/>
        <v>31.285714285714285</v>
      </c>
      <c r="K47" s="5">
        <v>12</v>
      </c>
      <c r="L47" s="4">
        <v>46055</v>
      </c>
      <c r="M47" s="4">
        <v>46066</v>
      </c>
      <c r="N47" s="3">
        <v>0.61299999999999999</v>
      </c>
      <c r="O47" s="2">
        <v>219</v>
      </c>
      <c r="P47" s="2">
        <f t="shared" si="1"/>
        <v>216.81</v>
      </c>
      <c r="Q47" s="2">
        <v>2.1899999999999977</v>
      </c>
      <c r="R47" s="15"/>
    </row>
    <row r="48" spans="2:18" x14ac:dyDescent="0.35">
      <c r="B48" s="5">
        <v>6</v>
      </c>
      <c r="C48" s="5" t="s">
        <v>82</v>
      </c>
      <c r="D48" s="6" t="s">
        <v>24</v>
      </c>
      <c r="E48" s="5">
        <v>5</v>
      </c>
      <c r="F48" s="4">
        <v>46009</v>
      </c>
      <c r="G48" s="4">
        <v>46013</v>
      </c>
      <c r="H48" s="12">
        <v>0</v>
      </c>
      <c r="I48" s="2">
        <v>18</v>
      </c>
      <c r="J48" s="17">
        <f t="shared" si="0"/>
        <v>3.6</v>
      </c>
      <c r="K48" s="5">
        <v>5</v>
      </c>
      <c r="L48" s="4">
        <v>46192</v>
      </c>
      <c r="M48" s="4">
        <v>46196</v>
      </c>
      <c r="N48" s="12">
        <v>0</v>
      </c>
      <c r="O48" s="2">
        <v>18</v>
      </c>
      <c r="P48" s="2">
        <f t="shared" si="1"/>
        <v>0</v>
      </c>
      <c r="Q48" s="2">
        <v>18</v>
      </c>
      <c r="R48" s="15"/>
    </row>
    <row r="50" spans="11:17" x14ac:dyDescent="0.35">
      <c r="K50"/>
      <c r="L50"/>
      <c r="M50"/>
      <c r="N50"/>
      <c r="O50"/>
      <c r="P50"/>
      <c r="Q50"/>
    </row>
    <row r="52" spans="11:17" x14ac:dyDescent="0.35">
      <c r="K52"/>
      <c r="L52"/>
      <c r="M52"/>
      <c r="N52"/>
      <c r="O52"/>
      <c r="P52"/>
      <c r="Q52"/>
    </row>
    <row r="53" spans="11:17" x14ac:dyDescent="0.35">
      <c r="K53"/>
      <c r="L53"/>
      <c r="M53"/>
      <c r="N53"/>
      <c r="O53"/>
      <c r="P53"/>
      <c r="Q53"/>
    </row>
    <row r="54" spans="11:17" x14ac:dyDescent="0.35">
      <c r="K54"/>
      <c r="L54"/>
      <c r="M54"/>
      <c r="N54"/>
      <c r="O54"/>
      <c r="P54"/>
      <c r="Q54"/>
    </row>
    <row r="55" spans="11:17" x14ac:dyDescent="0.35">
      <c r="K55"/>
      <c r="L55"/>
      <c r="M55"/>
      <c r="N55"/>
      <c r="O55"/>
      <c r="P55"/>
      <c r="Q55"/>
    </row>
    <row r="56" spans="11:17" x14ac:dyDescent="0.35">
      <c r="K56"/>
      <c r="L56"/>
      <c r="M56"/>
      <c r="N56"/>
      <c r="O56"/>
      <c r="P56"/>
      <c r="Q56"/>
    </row>
  </sheetData>
  <autoFilter ref="C2:O48" xr:uid="{40A1E5AA-D824-4563-8855-5A2BA24ADD2B}"/>
  <mergeCells count="2">
    <mergeCell ref="E1:J1"/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910E-DFE8-4453-93E7-E2C44B3ADE09}">
  <dimension ref="B2:C11"/>
  <sheetViews>
    <sheetView workbookViewId="0">
      <selection activeCell="C14" sqref="C14"/>
    </sheetView>
  </sheetViews>
  <sheetFormatPr baseColWidth="10" defaultRowHeight="14.5" x14ac:dyDescent="0.35"/>
  <cols>
    <col min="2" max="2" width="38.81640625" bestFit="1" customWidth="1"/>
    <col min="3" max="3" width="32.7265625" style="1" bestFit="1" customWidth="1"/>
  </cols>
  <sheetData>
    <row r="2" spans="2:3" x14ac:dyDescent="0.35">
      <c r="B2" s="14" t="s">
        <v>77</v>
      </c>
      <c r="C2" s="10" t="s">
        <v>87</v>
      </c>
    </row>
    <row r="3" spans="2:3" x14ac:dyDescent="0.35">
      <c r="B3" s="6" t="s">
        <v>60</v>
      </c>
      <c r="C3" s="18">
        <v>46066</v>
      </c>
    </row>
    <row r="4" spans="2:3" x14ac:dyDescent="0.35">
      <c r="B4" s="6" t="s">
        <v>59</v>
      </c>
      <c r="C4" s="18">
        <v>46066</v>
      </c>
    </row>
    <row r="5" spans="2:3" x14ac:dyDescent="0.35">
      <c r="B5" s="6" t="s">
        <v>52</v>
      </c>
      <c r="C5" s="18">
        <v>46066</v>
      </c>
    </row>
    <row r="6" spans="2:3" x14ac:dyDescent="0.35">
      <c r="B6" s="6" t="s">
        <v>52</v>
      </c>
      <c r="C6" s="18">
        <v>46066</v>
      </c>
    </row>
    <row r="7" spans="2:3" x14ac:dyDescent="0.35">
      <c r="B7" s="6" t="s">
        <v>52</v>
      </c>
      <c r="C7" s="18">
        <v>46066</v>
      </c>
    </row>
    <row r="8" spans="2:3" x14ac:dyDescent="0.35">
      <c r="B8" s="6" t="s">
        <v>50</v>
      </c>
      <c r="C8" s="18">
        <v>46081</v>
      </c>
    </row>
    <row r="9" spans="2:3" x14ac:dyDescent="0.35">
      <c r="B9" s="6" t="s">
        <v>43</v>
      </c>
      <c r="C9" s="18">
        <v>46066</v>
      </c>
    </row>
    <row r="10" spans="2:3" x14ac:dyDescent="0.35">
      <c r="B10" s="6" t="s">
        <v>39</v>
      </c>
      <c r="C10" s="18">
        <v>46066</v>
      </c>
    </row>
    <row r="11" spans="2:3" x14ac:dyDescent="0.35">
      <c r="B11" s="6" t="s">
        <v>24</v>
      </c>
      <c r="C11" s="18">
        <v>46081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8A0-DD58-4FE1-A7F8-528553DBE23B}">
  <sheetPr codeName="Hoja2"/>
  <dimension ref="B1:R75"/>
  <sheetViews>
    <sheetView topLeftCell="C1" zoomScale="90" zoomScaleNormal="90" workbookViewId="0">
      <selection activeCell="P10" sqref="P10"/>
    </sheetView>
  </sheetViews>
  <sheetFormatPr baseColWidth="10" defaultRowHeight="14.5" x14ac:dyDescent="0.35"/>
  <cols>
    <col min="2" max="3" width="16.26953125" style="1" customWidth="1"/>
    <col min="4" max="4" width="67.08984375" bestFit="1" customWidth="1"/>
    <col min="5" max="10" width="13.26953125" customWidth="1"/>
    <col min="11" max="11" width="10.90625" style="1"/>
    <col min="12" max="12" width="29.26953125" style="1" bestFit="1" customWidth="1"/>
    <col min="13" max="13" width="15.453125" style="1" customWidth="1"/>
    <col min="14" max="16" width="10.90625" style="1"/>
  </cols>
  <sheetData>
    <row r="1" spans="2:18" x14ac:dyDescent="0.35">
      <c r="D1" s="1"/>
      <c r="E1" s="1"/>
      <c r="F1" s="1"/>
      <c r="G1" s="1"/>
      <c r="H1" s="1"/>
      <c r="I1" s="1"/>
      <c r="J1" s="1"/>
    </row>
    <row r="2" spans="2:18" x14ac:dyDescent="0.35">
      <c r="E2" s="19" t="s">
        <v>80</v>
      </c>
      <c r="F2" s="19"/>
      <c r="G2" s="19"/>
      <c r="H2" s="19"/>
      <c r="I2" s="19"/>
      <c r="J2" s="19"/>
      <c r="K2" s="19" t="s">
        <v>79</v>
      </c>
      <c r="L2" s="19"/>
      <c r="M2" s="19"/>
      <c r="N2" s="19"/>
      <c r="O2" s="19"/>
      <c r="P2" s="19"/>
    </row>
    <row r="3" spans="2:18" ht="58" x14ac:dyDescent="0.35">
      <c r="B3" s="14" t="s">
        <v>81</v>
      </c>
      <c r="C3" s="14" t="s">
        <v>78</v>
      </c>
      <c r="D3" s="14" t="s">
        <v>77</v>
      </c>
      <c r="E3" s="14" t="s">
        <v>76</v>
      </c>
      <c r="F3" s="14" t="s">
        <v>75</v>
      </c>
      <c r="G3" s="14" t="s">
        <v>74</v>
      </c>
      <c r="H3" s="14" t="s">
        <v>73</v>
      </c>
      <c r="I3" s="14" t="s">
        <v>84</v>
      </c>
      <c r="J3" s="14" t="s">
        <v>83</v>
      </c>
      <c r="K3" s="14" t="s">
        <v>76</v>
      </c>
      <c r="L3" s="14" t="s">
        <v>75</v>
      </c>
      <c r="M3" s="14" t="s">
        <v>74</v>
      </c>
      <c r="N3" s="14" t="s">
        <v>73</v>
      </c>
      <c r="O3" s="14" t="s">
        <v>84</v>
      </c>
      <c r="P3" s="14" t="s">
        <v>85</v>
      </c>
    </row>
    <row r="4" spans="2:18" x14ac:dyDescent="0.35">
      <c r="B4" s="10">
        <v>1</v>
      </c>
      <c r="C4" s="10" t="s">
        <v>2</v>
      </c>
      <c r="D4" s="11" t="s">
        <v>72</v>
      </c>
      <c r="E4" s="10">
        <v>206</v>
      </c>
      <c r="F4" s="9">
        <v>45808</v>
      </c>
      <c r="G4" s="9">
        <v>46013</v>
      </c>
      <c r="H4" s="8">
        <v>0</v>
      </c>
      <c r="I4" s="7">
        <v>25299</v>
      </c>
      <c r="J4" s="7">
        <f>+I4/E4</f>
        <v>122.81067961165049</v>
      </c>
      <c r="K4" s="10">
        <v>156</v>
      </c>
      <c r="L4" s="9">
        <v>46055</v>
      </c>
      <c r="M4" s="9">
        <v>46210</v>
      </c>
      <c r="N4" s="8">
        <v>0.60570000000000002</v>
      </c>
      <c r="O4" s="7">
        <v>25299</v>
      </c>
      <c r="P4" s="7">
        <f t="shared" ref="P4:P8" si="0">+O4*N4</f>
        <v>15323.604300000001</v>
      </c>
      <c r="R4" s="15"/>
    </row>
    <row r="5" spans="2:18" x14ac:dyDescent="0.35">
      <c r="B5" s="10">
        <v>2</v>
      </c>
      <c r="C5" s="10" t="s">
        <v>2</v>
      </c>
      <c r="D5" s="11" t="s">
        <v>71</v>
      </c>
      <c r="E5" s="10">
        <v>206</v>
      </c>
      <c r="F5" s="9">
        <v>45808</v>
      </c>
      <c r="G5" s="9">
        <v>46013</v>
      </c>
      <c r="H5" s="8">
        <v>0</v>
      </c>
      <c r="I5" s="7">
        <v>25299</v>
      </c>
      <c r="J5" s="7">
        <f t="shared" ref="J5:J68" si="1">+I5/E5</f>
        <v>122.81067961165049</v>
      </c>
      <c r="K5" s="10">
        <v>156</v>
      </c>
      <c r="L5" s="9">
        <v>46055</v>
      </c>
      <c r="M5" s="9">
        <v>46210</v>
      </c>
      <c r="N5" s="8">
        <v>0.60570000000000002</v>
      </c>
      <c r="O5" s="7">
        <v>25299</v>
      </c>
      <c r="P5" s="7">
        <f t="shared" si="0"/>
        <v>15323.604300000001</v>
      </c>
      <c r="R5" s="15"/>
    </row>
    <row r="6" spans="2:18" x14ac:dyDescent="0.35">
      <c r="B6" s="10">
        <v>3</v>
      </c>
      <c r="C6" s="10" t="s">
        <v>2</v>
      </c>
      <c r="D6" s="11" t="s">
        <v>70</v>
      </c>
      <c r="E6" s="10">
        <v>206</v>
      </c>
      <c r="F6" s="9">
        <v>45808</v>
      </c>
      <c r="G6" s="9">
        <v>46013</v>
      </c>
      <c r="H6" s="8">
        <v>0</v>
      </c>
      <c r="I6" s="7">
        <v>25299</v>
      </c>
      <c r="J6" s="7">
        <f t="shared" si="1"/>
        <v>122.81067961165049</v>
      </c>
      <c r="K6" s="10">
        <v>156</v>
      </c>
      <c r="L6" s="9">
        <v>46055</v>
      </c>
      <c r="M6" s="9">
        <v>46210</v>
      </c>
      <c r="N6" s="8">
        <v>0.60570000000000002</v>
      </c>
      <c r="O6" s="7">
        <v>25299</v>
      </c>
      <c r="P6" s="7">
        <f t="shared" si="0"/>
        <v>15323.604300000001</v>
      </c>
      <c r="R6" s="15"/>
    </row>
    <row r="7" spans="2:18" x14ac:dyDescent="0.35">
      <c r="B7" s="10">
        <v>4</v>
      </c>
      <c r="C7" s="10" t="s">
        <v>2</v>
      </c>
      <c r="D7" s="11" t="s">
        <v>69</v>
      </c>
      <c r="E7" s="10">
        <v>130</v>
      </c>
      <c r="F7" s="9">
        <v>45813</v>
      </c>
      <c r="G7" s="9">
        <v>45942</v>
      </c>
      <c r="H7" s="13">
        <v>0</v>
      </c>
      <c r="I7" s="7">
        <v>210</v>
      </c>
      <c r="J7" s="7">
        <f t="shared" si="1"/>
        <v>1.6153846153846154</v>
      </c>
      <c r="K7" s="10">
        <v>5</v>
      </c>
      <c r="L7" s="9">
        <v>46065</v>
      </c>
      <c r="M7" s="9">
        <v>46069</v>
      </c>
      <c r="N7" s="13">
        <v>0</v>
      </c>
      <c r="O7" s="7">
        <v>210</v>
      </c>
      <c r="P7" s="7">
        <f t="shared" si="0"/>
        <v>0</v>
      </c>
      <c r="R7" s="15"/>
    </row>
    <row r="8" spans="2:18" x14ac:dyDescent="0.35">
      <c r="B8" s="10">
        <v>5</v>
      </c>
      <c r="C8" s="10" t="s">
        <v>2</v>
      </c>
      <c r="D8" s="11" t="s">
        <v>68</v>
      </c>
      <c r="E8" s="10">
        <v>118</v>
      </c>
      <c r="F8" s="9">
        <v>45825</v>
      </c>
      <c r="G8" s="9">
        <v>45942</v>
      </c>
      <c r="H8" s="13">
        <v>0</v>
      </c>
      <c r="I8" s="7">
        <v>210</v>
      </c>
      <c r="J8" s="7">
        <f t="shared" si="1"/>
        <v>1.7796610169491525</v>
      </c>
      <c r="K8" s="10">
        <v>5</v>
      </c>
      <c r="L8" s="9">
        <v>46065</v>
      </c>
      <c r="M8" s="9">
        <v>46069</v>
      </c>
      <c r="N8" s="13">
        <v>0</v>
      </c>
      <c r="O8" s="7">
        <v>210</v>
      </c>
      <c r="P8" s="7">
        <f t="shared" si="0"/>
        <v>0</v>
      </c>
      <c r="R8" s="15"/>
    </row>
    <row r="9" spans="2:18" x14ac:dyDescent="0.35">
      <c r="B9" s="5">
        <v>6</v>
      </c>
      <c r="C9" s="5" t="s">
        <v>82</v>
      </c>
      <c r="D9" s="6" t="s">
        <v>67</v>
      </c>
      <c r="E9" s="5">
        <v>5</v>
      </c>
      <c r="F9" s="4">
        <v>45910</v>
      </c>
      <c r="G9" s="4">
        <v>45914</v>
      </c>
      <c r="H9" s="12">
        <v>0</v>
      </c>
      <c r="I9" s="2">
        <v>210</v>
      </c>
      <c r="J9" s="2">
        <f t="shared" si="1"/>
        <v>42</v>
      </c>
      <c r="K9" s="5">
        <v>5</v>
      </c>
      <c r="L9" s="4">
        <v>46065</v>
      </c>
      <c r="M9" s="4">
        <v>46069</v>
      </c>
      <c r="N9" s="12">
        <v>0</v>
      </c>
      <c r="O9" s="2">
        <v>210</v>
      </c>
      <c r="P9" s="2">
        <f>+O9*N9</f>
        <v>0</v>
      </c>
      <c r="R9" s="15"/>
    </row>
    <row r="10" spans="2:18" x14ac:dyDescent="0.35">
      <c r="B10" s="10">
        <v>7</v>
      </c>
      <c r="C10" s="10" t="s">
        <v>2</v>
      </c>
      <c r="D10" s="11" t="s">
        <v>66</v>
      </c>
      <c r="E10" s="10">
        <v>201</v>
      </c>
      <c r="F10" s="9">
        <v>45813</v>
      </c>
      <c r="G10" s="9">
        <v>46013</v>
      </c>
      <c r="H10" s="8">
        <v>0</v>
      </c>
      <c r="I10" s="7">
        <v>13003</v>
      </c>
      <c r="J10" s="7">
        <f t="shared" si="1"/>
        <v>64.691542288557216</v>
      </c>
      <c r="K10" s="10">
        <v>156</v>
      </c>
      <c r="L10" s="9">
        <v>46055</v>
      </c>
      <c r="M10" s="9">
        <v>46210</v>
      </c>
      <c r="N10" s="8">
        <v>0.57709999999999995</v>
      </c>
      <c r="O10" s="7">
        <v>13003</v>
      </c>
      <c r="P10" s="7">
        <f t="shared" ref="P10:P73" si="2">+O10*N10</f>
        <v>7504.0312999999996</v>
      </c>
      <c r="Q10" s="15">
        <f>+I10-P10</f>
        <v>5498.9687000000004</v>
      </c>
      <c r="R10" s="15"/>
    </row>
    <row r="11" spans="2:18" x14ac:dyDescent="0.35">
      <c r="B11" s="10">
        <v>8</v>
      </c>
      <c r="C11" s="10" t="s">
        <v>2</v>
      </c>
      <c r="D11" s="11" t="s">
        <v>65</v>
      </c>
      <c r="E11" s="10">
        <v>196</v>
      </c>
      <c r="F11" s="9">
        <v>45813</v>
      </c>
      <c r="G11" s="9">
        <v>46008</v>
      </c>
      <c r="H11" s="8">
        <v>0</v>
      </c>
      <c r="I11" s="7">
        <v>535</v>
      </c>
      <c r="J11" s="7">
        <f t="shared" si="1"/>
        <v>2.7295918367346941</v>
      </c>
      <c r="K11" s="10">
        <v>8</v>
      </c>
      <c r="L11" s="9">
        <v>46063</v>
      </c>
      <c r="M11" s="9">
        <v>46071</v>
      </c>
      <c r="N11" s="8">
        <v>0.58960000000000001</v>
      </c>
      <c r="O11" s="7">
        <v>535</v>
      </c>
      <c r="P11" s="7">
        <f t="shared" si="2"/>
        <v>315.43599999999998</v>
      </c>
      <c r="R11" s="15"/>
    </row>
    <row r="12" spans="2:18" x14ac:dyDescent="0.35">
      <c r="B12" s="5">
        <v>9</v>
      </c>
      <c r="C12" s="5" t="s">
        <v>82</v>
      </c>
      <c r="D12" s="6" t="s">
        <v>64</v>
      </c>
      <c r="E12" s="5">
        <v>20</v>
      </c>
      <c r="F12" s="4">
        <v>45984</v>
      </c>
      <c r="G12" s="4">
        <v>46003</v>
      </c>
      <c r="H12" s="3">
        <v>0</v>
      </c>
      <c r="I12" s="2">
        <v>470</v>
      </c>
      <c r="J12" s="2">
        <f t="shared" si="1"/>
        <v>23.5</v>
      </c>
      <c r="K12" s="5">
        <v>7</v>
      </c>
      <c r="L12" s="4">
        <v>46063</v>
      </c>
      <c r="M12" s="4">
        <v>46069</v>
      </c>
      <c r="N12" s="3">
        <v>0.59870000000000001</v>
      </c>
      <c r="O12" s="2">
        <v>470</v>
      </c>
      <c r="P12" s="2">
        <f t="shared" si="2"/>
        <v>281.38900000000001</v>
      </c>
      <c r="R12" s="15"/>
    </row>
    <row r="13" spans="2:18" x14ac:dyDescent="0.35">
      <c r="B13" s="5">
        <v>10</v>
      </c>
      <c r="C13" s="5" t="s">
        <v>82</v>
      </c>
      <c r="D13" s="6" t="s">
        <v>63</v>
      </c>
      <c r="E13" s="5">
        <v>5</v>
      </c>
      <c r="F13" s="4">
        <v>46004</v>
      </c>
      <c r="G13" s="4">
        <v>46008</v>
      </c>
      <c r="H13" s="3">
        <v>0</v>
      </c>
      <c r="I13" s="2">
        <v>65</v>
      </c>
      <c r="J13" s="2">
        <f t="shared" si="1"/>
        <v>13</v>
      </c>
      <c r="K13" s="5">
        <v>2</v>
      </c>
      <c r="L13" s="4">
        <v>46069</v>
      </c>
      <c r="M13" s="4">
        <v>46071</v>
      </c>
      <c r="N13" s="3">
        <v>0.53359999999999996</v>
      </c>
      <c r="O13" s="2">
        <v>65</v>
      </c>
      <c r="P13" s="2">
        <f t="shared" si="2"/>
        <v>34.683999999999997</v>
      </c>
      <c r="R13" s="15"/>
    </row>
    <row r="14" spans="2:18" x14ac:dyDescent="0.35">
      <c r="B14" s="10">
        <v>11</v>
      </c>
      <c r="C14" s="10" t="s">
        <v>2</v>
      </c>
      <c r="D14" s="11" t="s">
        <v>62</v>
      </c>
      <c r="E14" s="10">
        <v>181</v>
      </c>
      <c r="F14" s="9">
        <v>45825</v>
      </c>
      <c r="G14" s="9">
        <v>46005</v>
      </c>
      <c r="H14" s="8">
        <v>0</v>
      </c>
      <c r="I14" s="7">
        <v>2830</v>
      </c>
      <c r="J14" s="7">
        <f t="shared" si="1"/>
        <v>15.6353591160221</v>
      </c>
      <c r="K14" s="10">
        <v>78</v>
      </c>
      <c r="L14" s="9">
        <v>46055</v>
      </c>
      <c r="M14" s="9">
        <v>46132</v>
      </c>
      <c r="N14" s="8">
        <v>0.50349999999999995</v>
      </c>
      <c r="O14" s="7">
        <v>2830</v>
      </c>
      <c r="P14" s="7">
        <f t="shared" si="2"/>
        <v>1424.9049999999997</v>
      </c>
      <c r="R14" s="15"/>
    </row>
    <row r="15" spans="2:18" x14ac:dyDescent="0.35">
      <c r="B15" s="5">
        <v>12</v>
      </c>
      <c r="C15" s="5" t="s">
        <v>82</v>
      </c>
      <c r="D15" s="6" t="s">
        <v>61</v>
      </c>
      <c r="E15" s="5">
        <v>18</v>
      </c>
      <c r="F15" s="4">
        <v>45835</v>
      </c>
      <c r="G15" s="4">
        <v>45852</v>
      </c>
      <c r="H15" s="3">
        <v>0</v>
      </c>
      <c r="I15" s="2">
        <v>475</v>
      </c>
      <c r="J15" s="2">
        <f t="shared" si="1"/>
        <v>26.388888888888889</v>
      </c>
      <c r="K15" s="5">
        <v>1</v>
      </c>
      <c r="L15" s="4">
        <v>46055</v>
      </c>
      <c r="M15" s="4">
        <v>46055</v>
      </c>
      <c r="N15" s="3">
        <v>0.84899999999999998</v>
      </c>
      <c r="O15" s="2">
        <v>475</v>
      </c>
      <c r="P15" s="2">
        <f t="shared" si="2"/>
        <v>403.27499999999998</v>
      </c>
      <c r="R15" s="15"/>
    </row>
    <row r="16" spans="2:18" x14ac:dyDescent="0.35">
      <c r="B16" s="5">
        <v>13</v>
      </c>
      <c r="C16" s="5" t="s">
        <v>82</v>
      </c>
      <c r="D16" s="6" t="s">
        <v>60</v>
      </c>
      <c r="E16" s="5">
        <v>5</v>
      </c>
      <c r="F16" s="4">
        <v>46001</v>
      </c>
      <c r="G16" s="4">
        <v>46005</v>
      </c>
      <c r="H16" s="3">
        <v>0</v>
      </c>
      <c r="I16" s="2">
        <v>140</v>
      </c>
      <c r="J16" s="2">
        <f t="shared" si="1"/>
        <v>28</v>
      </c>
      <c r="K16" s="5">
        <v>5</v>
      </c>
      <c r="L16" s="4">
        <v>46127</v>
      </c>
      <c r="M16" s="4">
        <v>46132</v>
      </c>
      <c r="N16" s="3">
        <v>0.48349999999999999</v>
      </c>
      <c r="O16" s="2">
        <v>140</v>
      </c>
      <c r="P16" s="2">
        <f t="shared" si="2"/>
        <v>67.69</v>
      </c>
      <c r="R16" s="15"/>
    </row>
    <row r="17" spans="2:18" x14ac:dyDescent="0.35">
      <c r="B17" s="5">
        <v>14</v>
      </c>
      <c r="C17" s="5" t="s">
        <v>82</v>
      </c>
      <c r="D17" s="6" t="s">
        <v>59</v>
      </c>
      <c r="E17" s="5">
        <v>23</v>
      </c>
      <c r="F17" s="4">
        <v>45947</v>
      </c>
      <c r="G17" s="4">
        <v>45969</v>
      </c>
      <c r="H17" s="3">
        <v>0</v>
      </c>
      <c r="I17" s="2">
        <v>600</v>
      </c>
      <c r="J17" s="2">
        <f t="shared" si="1"/>
        <v>26.086956521739129</v>
      </c>
      <c r="K17" s="5">
        <v>3</v>
      </c>
      <c r="L17" s="4">
        <v>46124</v>
      </c>
      <c r="M17" s="4">
        <v>46127</v>
      </c>
      <c r="N17" s="3">
        <v>0.78969999999999996</v>
      </c>
      <c r="O17" s="2">
        <v>600</v>
      </c>
      <c r="P17" s="2">
        <f t="shared" si="2"/>
        <v>473.82</v>
      </c>
      <c r="R17" s="15"/>
    </row>
    <row r="18" spans="2:18" x14ac:dyDescent="0.35">
      <c r="B18" s="5">
        <v>15</v>
      </c>
      <c r="C18" s="5" t="s">
        <v>82</v>
      </c>
      <c r="D18" s="6" t="s">
        <v>58</v>
      </c>
      <c r="E18" s="5">
        <v>9</v>
      </c>
      <c r="F18" s="4">
        <v>45860</v>
      </c>
      <c r="G18" s="4">
        <v>45868</v>
      </c>
      <c r="H18" s="3">
        <v>0</v>
      </c>
      <c r="I18" s="2">
        <v>430</v>
      </c>
      <c r="J18" s="2">
        <f t="shared" si="1"/>
        <v>47.777777777777779</v>
      </c>
      <c r="K18" s="5">
        <v>9</v>
      </c>
      <c r="L18" s="4">
        <v>46055</v>
      </c>
      <c r="M18" s="4">
        <v>46063</v>
      </c>
      <c r="N18" s="3">
        <v>0.8609</v>
      </c>
      <c r="O18" s="2">
        <v>430</v>
      </c>
      <c r="P18" s="2">
        <f t="shared" si="2"/>
        <v>370.18700000000001</v>
      </c>
      <c r="R18" s="15"/>
    </row>
    <row r="19" spans="2:18" x14ac:dyDescent="0.35">
      <c r="B19" s="5">
        <v>16</v>
      </c>
      <c r="C19" s="5" t="s">
        <v>82</v>
      </c>
      <c r="D19" s="6" t="s">
        <v>57</v>
      </c>
      <c r="E19" s="5">
        <v>5</v>
      </c>
      <c r="F19" s="4">
        <v>45869</v>
      </c>
      <c r="G19" s="4">
        <v>45873</v>
      </c>
      <c r="H19" s="3">
        <v>0</v>
      </c>
      <c r="I19" s="2">
        <v>65</v>
      </c>
      <c r="J19" s="2">
        <f t="shared" si="1"/>
        <v>13</v>
      </c>
      <c r="K19" s="5">
        <v>0</v>
      </c>
      <c r="L19" s="4">
        <v>46055</v>
      </c>
      <c r="M19" s="4">
        <v>46055</v>
      </c>
      <c r="N19" s="3">
        <v>0.81159999999999999</v>
      </c>
      <c r="O19" s="2">
        <v>65</v>
      </c>
      <c r="P19" s="2">
        <f t="shared" si="2"/>
        <v>52.753999999999998</v>
      </c>
      <c r="R19" s="15"/>
    </row>
    <row r="20" spans="2:18" x14ac:dyDescent="0.35">
      <c r="B20" s="5">
        <v>17</v>
      </c>
      <c r="C20" s="5" t="s">
        <v>82</v>
      </c>
      <c r="D20" s="6" t="s">
        <v>56</v>
      </c>
      <c r="E20" s="5">
        <v>18</v>
      </c>
      <c r="F20" s="4">
        <v>45893</v>
      </c>
      <c r="G20" s="4">
        <v>45910</v>
      </c>
      <c r="H20" s="3">
        <v>0</v>
      </c>
      <c r="I20" s="2">
        <v>220</v>
      </c>
      <c r="J20" s="2">
        <f t="shared" si="1"/>
        <v>12.222222222222221</v>
      </c>
      <c r="K20" s="5">
        <v>17</v>
      </c>
      <c r="L20" s="4">
        <v>46062</v>
      </c>
      <c r="M20" s="4">
        <v>46079</v>
      </c>
      <c r="N20" s="3">
        <v>6.0900000000000003E-2</v>
      </c>
      <c r="O20" s="2">
        <v>220</v>
      </c>
      <c r="P20" s="2">
        <f t="shared" si="2"/>
        <v>13.398000000000001</v>
      </c>
      <c r="R20" s="15"/>
    </row>
    <row r="21" spans="2:18" x14ac:dyDescent="0.35">
      <c r="B21" s="5">
        <v>18</v>
      </c>
      <c r="C21" s="5" t="s">
        <v>82</v>
      </c>
      <c r="D21" s="6" t="s">
        <v>55</v>
      </c>
      <c r="E21" s="5">
        <v>5</v>
      </c>
      <c r="F21" s="4">
        <v>45911</v>
      </c>
      <c r="G21" s="4">
        <v>45915</v>
      </c>
      <c r="H21" s="12">
        <v>0</v>
      </c>
      <c r="I21" s="2">
        <v>60</v>
      </c>
      <c r="J21" s="2">
        <f t="shared" si="1"/>
        <v>12</v>
      </c>
      <c r="K21" s="5">
        <v>5</v>
      </c>
      <c r="L21" s="4">
        <v>46090</v>
      </c>
      <c r="M21" s="4">
        <v>46094</v>
      </c>
      <c r="N21" s="12">
        <v>0</v>
      </c>
      <c r="O21" s="2">
        <v>60</v>
      </c>
      <c r="P21" s="2">
        <f t="shared" si="2"/>
        <v>0</v>
      </c>
      <c r="R21" s="15"/>
    </row>
    <row r="22" spans="2:18" x14ac:dyDescent="0.35">
      <c r="B22" s="5">
        <v>19</v>
      </c>
      <c r="C22" s="5" t="s">
        <v>82</v>
      </c>
      <c r="D22" s="6" t="s">
        <v>54</v>
      </c>
      <c r="E22" s="5">
        <v>5</v>
      </c>
      <c r="F22" s="4">
        <v>45916</v>
      </c>
      <c r="G22" s="4">
        <v>45920</v>
      </c>
      <c r="H22" s="3">
        <v>0</v>
      </c>
      <c r="I22" s="2">
        <v>120</v>
      </c>
      <c r="J22" s="2">
        <f t="shared" si="1"/>
        <v>24</v>
      </c>
      <c r="K22" s="5">
        <v>5</v>
      </c>
      <c r="L22" s="4">
        <v>46095</v>
      </c>
      <c r="M22" s="4">
        <v>46099</v>
      </c>
      <c r="N22" s="3">
        <v>2.6800000000000001E-2</v>
      </c>
      <c r="O22" s="2">
        <v>120</v>
      </c>
      <c r="P22" s="2">
        <f t="shared" si="2"/>
        <v>3.2160000000000002</v>
      </c>
      <c r="R22" s="15"/>
    </row>
    <row r="23" spans="2:18" x14ac:dyDescent="0.35">
      <c r="B23" s="5">
        <v>20</v>
      </c>
      <c r="C23" s="5" t="s">
        <v>82</v>
      </c>
      <c r="D23" s="6" t="s">
        <v>53</v>
      </c>
      <c r="E23" s="5">
        <v>5</v>
      </c>
      <c r="F23" s="4">
        <v>45921</v>
      </c>
      <c r="G23" s="4">
        <v>45925</v>
      </c>
      <c r="H23" s="12">
        <v>0</v>
      </c>
      <c r="I23" s="2">
        <v>50</v>
      </c>
      <c r="J23" s="2">
        <f t="shared" si="1"/>
        <v>10</v>
      </c>
      <c r="K23" s="5">
        <v>5</v>
      </c>
      <c r="L23" s="4">
        <v>46099</v>
      </c>
      <c r="M23" s="4">
        <v>46104</v>
      </c>
      <c r="N23" s="12">
        <v>0</v>
      </c>
      <c r="O23" s="2">
        <v>50</v>
      </c>
      <c r="P23" s="2">
        <f t="shared" si="2"/>
        <v>0</v>
      </c>
      <c r="R23" s="15"/>
    </row>
    <row r="24" spans="2:18" x14ac:dyDescent="0.35">
      <c r="B24" s="5">
        <v>21</v>
      </c>
      <c r="C24" s="5" t="s">
        <v>82</v>
      </c>
      <c r="D24" s="6" t="s">
        <v>52</v>
      </c>
      <c r="E24" s="5">
        <v>14</v>
      </c>
      <c r="F24" s="4">
        <v>45926</v>
      </c>
      <c r="G24" s="4">
        <v>45939</v>
      </c>
      <c r="H24" s="12">
        <v>0</v>
      </c>
      <c r="I24" s="2">
        <v>670</v>
      </c>
      <c r="J24" s="2">
        <f t="shared" si="1"/>
        <v>47.857142857142854</v>
      </c>
      <c r="K24" s="5">
        <v>13</v>
      </c>
      <c r="L24" s="4">
        <v>46104</v>
      </c>
      <c r="M24" s="4">
        <v>46117</v>
      </c>
      <c r="N24" s="12">
        <v>0.06</v>
      </c>
      <c r="O24" s="2">
        <v>670</v>
      </c>
      <c r="P24" s="2">
        <f t="shared" si="2"/>
        <v>40.199999999999996</v>
      </c>
      <c r="R24" s="15"/>
    </row>
    <row r="25" spans="2:18" x14ac:dyDescent="0.35">
      <c r="B25" s="10">
        <v>22</v>
      </c>
      <c r="C25" s="10" t="s">
        <v>2</v>
      </c>
      <c r="D25" s="11" t="s">
        <v>51</v>
      </c>
      <c r="E25" s="10">
        <v>164</v>
      </c>
      <c r="F25" s="9">
        <v>45813</v>
      </c>
      <c r="G25" s="9">
        <v>45976</v>
      </c>
      <c r="H25" s="8">
        <v>0</v>
      </c>
      <c r="I25" s="7">
        <v>1498</v>
      </c>
      <c r="J25" s="7">
        <f t="shared" si="1"/>
        <v>9.1341463414634152</v>
      </c>
      <c r="K25" s="10">
        <v>45</v>
      </c>
      <c r="L25" s="9">
        <v>46055</v>
      </c>
      <c r="M25" s="9">
        <v>46099</v>
      </c>
      <c r="N25" s="8">
        <v>0.77180000000000004</v>
      </c>
      <c r="O25" s="7">
        <v>1498</v>
      </c>
      <c r="P25" s="7">
        <f t="shared" si="2"/>
        <v>1156.1564000000001</v>
      </c>
      <c r="R25" s="15"/>
    </row>
    <row r="26" spans="2:18" x14ac:dyDescent="0.35">
      <c r="B26" s="5">
        <v>23</v>
      </c>
      <c r="C26" s="5" t="s">
        <v>82</v>
      </c>
      <c r="D26" s="6" t="s">
        <v>50</v>
      </c>
      <c r="E26" s="5">
        <v>20</v>
      </c>
      <c r="F26" s="4">
        <v>45946</v>
      </c>
      <c r="G26" s="4">
        <v>45965</v>
      </c>
      <c r="H26" s="3">
        <v>0</v>
      </c>
      <c r="I26" s="2">
        <v>230</v>
      </c>
      <c r="J26" s="2">
        <f t="shared" si="1"/>
        <v>11.5</v>
      </c>
      <c r="K26" s="5">
        <v>8</v>
      </c>
      <c r="L26" s="4">
        <v>46055</v>
      </c>
      <c r="M26" s="4">
        <v>46063</v>
      </c>
      <c r="N26" s="3">
        <v>0.58930000000000005</v>
      </c>
      <c r="O26" s="2">
        <v>230</v>
      </c>
      <c r="P26" s="2">
        <f t="shared" si="2"/>
        <v>135.53900000000002</v>
      </c>
      <c r="R26" s="15"/>
    </row>
    <row r="27" spans="2:18" x14ac:dyDescent="0.35">
      <c r="B27" s="5">
        <v>24</v>
      </c>
      <c r="C27" s="5" t="s">
        <v>82</v>
      </c>
      <c r="D27" s="6" t="s">
        <v>49</v>
      </c>
      <c r="E27" s="5">
        <v>45</v>
      </c>
      <c r="F27" s="4">
        <v>45901</v>
      </c>
      <c r="G27" s="4">
        <v>45945</v>
      </c>
      <c r="H27" s="3">
        <v>0</v>
      </c>
      <c r="I27" s="2">
        <v>525</v>
      </c>
      <c r="J27" s="2">
        <f t="shared" si="1"/>
        <v>11.666666666666666</v>
      </c>
      <c r="K27" s="5">
        <v>45</v>
      </c>
      <c r="L27" s="4">
        <v>46055</v>
      </c>
      <c r="M27" s="4">
        <v>46099</v>
      </c>
      <c r="N27" s="3">
        <v>0.71719999999999995</v>
      </c>
      <c r="O27" s="2">
        <v>525</v>
      </c>
      <c r="P27" s="2">
        <f t="shared" si="2"/>
        <v>376.53</v>
      </c>
      <c r="R27" s="15"/>
    </row>
    <row r="28" spans="2:18" x14ac:dyDescent="0.35">
      <c r="B28" s="5">
        <v>25</v>
      </c>
      <c r="C28" s="5" t="s">
        <v>82</v>
      </c>
      <c r="D28" s="6" t="s">
        <v>48</v>
      </c>
      <c r="E28" s="5">
        <v>30</v>
      </c>
      <c r="F28" s="4">
        <v>45871</v>
      </c>
      <c r="G28" s="4">
        <v>45900</v>
      </c>
      <c r="H28" s="3">
        <v>0</v>
      </c>
      <c r="I28" s="2">
        <v>743</v>
      </c>
      <c r="J28" s="2">
        <f t="shared" si="1"/>
        <v>24.766666666666666</v>
      </c>
      <c r="K28" s="5">
        <v>30</v>
      </c>
      <c r="L28" s="4">
        <v>46055</v>
      </c>
      <c r="M28" s="4">
        <v>46084</v>
      </c>
      <c r="N28" s="3">
        <v>0.8669</v>
      </c>
      <c r="O28" s="2">
        <v>743</v>
      </c>
      <c r="P28" s="2">
        <f t="shared" si="2"/>
        <v>644.10670000000005</v>
      </c>
      <c r="R28" s="15"/>
    </row>
    <row r="29" spans="2:18" x14ac:dyDescent="0.35">
      <c r="B29" s="10">
        <v>26</v>
      </c>
      <c r="C29" s="10" t="s">
        <v>2</v>
      </c>
      <c r="D29" s="11" t="s">
        <v>47</v>
      </c>
      <c r="E29" s="10">
        <v>178</v>
      </c>
      <c r="F29" s="9">
        <v>45813</v>
      </c>
      <c r="G29" s="9">
        <v>45990</v>
      </c>
      <c r="H29" s="8">
        <v>0</v>
      </c>
      <c r="I29" s="7">
        <v>1580</v>
      </c>
      <c r="J29" s="7">
        <f t="shared" si="1"/>
        <v>8.8764044943820224</v>
      </c>
      <c r="K29" s="10">
        <v>2</v>
      </c>
      <c r="L29" s="9">
        <v>46055</v>
      </c>
      <c r="M29" s="9">
        <v>46056</v>
      </c>
      <c r="N29" s="8">
        <v>0.67169999999999996</v>
      </c>
      <c r="O29" s="7">
        <v>1580</v>
      </c>
      <c r="P29" s="7">
        <f t="shared" si="2"/>
        <v>1061.2859999999998</v>
      </c>
      <c r="R29" s="15"/>
    </row>
    <row r="30" spans="2:18" x14ac:dyDescent="0.35">
      <c r="B30" s="5">
        <v>27</v>
      </c>
      <c r="C30" s="5" t="s">
        <v>82</v>
      </c>
      <c r="D30" s="6" t="s">
        <v>46</v>
      </c>
      <c r="E30" s="5">
        <v>174</v>
      </c>
      <c r="F30" s="4">
        <v>45813</v>
      </c>
      <c r="G30" s="4">
        <v>45986</v>
      </c>
      <c r="H30" s="3">
        <v>0</v>
      </c>
      <c r="I30" s="2">
        <v>1580</v>
      </c>
      <c r="J30" s="2">
        <f t="shared" si="1"/>
        <v>9.0804597701149419</v>
      </c>
      <c r="K30" s="5">
        <v>2</v>
      </c>
      <c r="L30" s="4">
        <v>46055</v>
      </c>
      <c r="M30" s="4">
        <v>46056</v>
      </c>
      <c r="N30" s="3">
        <v>0.67169999999999996</v>
      </c>
      <c r="O30" s="2">
        <v>1580</v>
      </c>
      <c r="P30" s="2">
        <f t="shared" si="2"/>
        <v>1061.2859999999998</v>
      </c>
      <c r="R30" s="15"/>
    </row>
    <row r="31" spans="2:18" x14ac:dyDescent="0.35">
      <c r="B31" s="10">
        <v>28</v>
      </c>
      <c r="C31" s="10" t="s">
        <v>2</v>
      </c>
      <c r="D31" s="11" t="s">
        <v>45</v>
      </c>
      <c r="E31" s="10">
        <v>187</v>
      </c>
      <c r="F31" s="9">
        <v>45824</v>
      </c>
      <c r="G31" s="9">
        <v>46010</v>
      </c>
      <c r="H31" s="8">
        <v>0</v>
      </c>
      <c r="I31" s="7">
        <v>440</v>
      </c>
      <c r="J31" s="7">
        <f t="shared" si="1"/>
        <v>2.3529411764705883</v>
      </c>
      <c r="K31" s="10">
        <v>8</v>
      </c>
      <c r="L31" s="9">
        <v>46055</v>
      </c>
      <c r="M31" s="9">
        <v>46062</v>
      </c>
      <c r="N31" s="8">
        <v>0.74950000000000006</v>
      </c>
      <c r="O31" s="7">
        <v>440</v>
      </c>
      <c r="P31" s="7">
        <f t="shared" si="2"/>
        <v>329.78000000000003</v>
      </c>
      <c r="R31" s="15"/>
    </row>
    <row r="32" spans="2:18" x14ac:dyDescent="0.35">
      <c r="B32" s="5">
        <v>29</v>
      </c>
      <c r="C32" s="5" t="s">
        <v>82</v>
      </c>
      <c r="D32" s="6" t="s">
        <v>44</v>
      </c>
      <c r="E32" s="5">
        <v>40</v>
      </c>
      <c r="F32" s="4">
        <v>45955</v>
      </c>
      <c r="G32" s="4">
        <v>45994</v>
      </c>
      <c r="H32" s="3">
        <v>0</v>
      </c>
      <c r="I32" s="2">
        <v>235</v>
      </c>
      <c r="J32" s="2">
        <f t="shared" si="1"/>
        <v>5.875</v>
      </c>
      <c r="K32" s="5">
        <v>4</v>
      </c>
      <c r="L32" s="4">
        <v>46055</v>
      </c>
      <c r="M32" s="4">
        <v>46058</v>
      </c>
      <c r="N32" s="3">
        <v>0.81610000000000005</v>
      </c>
      <c r="O32" s="2">
        <v>235</v>
      </c>
      <c r="P32" s="2">
        <f t="shared" si="2"/>
        <v>191.7835</v>
      </c>
      <c r="R32" s="15"/>
    </row>
    <row r="33" spans="2:18" x14ac:dyDescent="0.35">
      <c r="B33" s="5">
        <v>30</v>
      </c>
      <c r="C33" s="5" t="s">
        <v>82</v>
      </c>
      <c r="D33" s="6" t="s">
        <v>43</v>
      </c>
      <c r="E33" s="5">
        <v>16</v>
      </c>
      <c r="F33" s="4">
        <v>45995</v>
      </c>
      <c r="G33" s="4">
        <v>46010</v>
      </c>
      <c r="H33" s="3">
        <v>0</v>
      </c>
      <c r="I33" s="2">
        <v>205</v>
      </c>
      <c r="J33" s="2">
        <f t="shared" si="1"/>
        <v>12.8125</v>
      </c>
      <c r="K33" s="5">
        <v>4</v>
      </c>
      <c r="L33" s="4">
        <v>46058</v>
      </c>
      <c r="M33" s="4">
        <v>46062</v>
      </c>
      <c r="N33" s="3">
        <v>0.67320000000000002</v>
      </c>
      <c r="O33" s="2">
        <v>205</v>
      </c>
      <c r="P33" s="2">
        <f t="shared" si="2"/>
        <v>138.006</v>
      </c>
      <c r="R33" s="15"/>
    </row>
    <row r="34" spans="2:18" x14ac:dyDescent="0.35">
      <c r="B34" s="10">
        <v>31</v>
      </c>
      <c r="C34" s="10" t="s">
        <v>2</v>
      </c>
      <c r="D34" s="11" t="s">
        <v>42</v>
      </c>
      <c r="E34" s="10">
        <v>158</v>
      </c>
      <c r="F34" s="9">
        <v>45856</v>
      </c>
      <c r="G34" s="9">
        <v>46013</v>
      </c>
      <c r="H34" s="8">
        <v>0</v>
      </c>
      <c r="I34" s="7">
        <v>3000</v>
      </c>
      <c r="J34" s="7">
        <f t="shared" si="1"/>
        <v>18.9873417721519</v>
      </c>
      <c r="K34" s="10">
        <v>156</v>
      </c>
      <c r="L34" s="9">
        <v>46055</v>
      </c>
      <c r="M34" s="9">
        <v>46210</v>
      </c>
      <c r="N34" s="8">
        <v>0.44650000000000001</v>
      </c>
      <c r="O34" s="7">
        <v>3000</v>
      </c>
      <c r="P34" s="7">
        <f t="shared" si="2"/>
        <v>1339.5</v>
      </c>
      <c r="R34" s="15"/>
    </row>
    <row r="35" spans="2:18" x14ac:dyDescent="0.35">
      <c r="B35" s="5">
        <v>32</v>
      </c>
      <c r="C35" s="5" t="s">
        <v>82</v>
      </c>
      <c r="D35" s="6" t="s">
        <v>41</v>
      </c>
      <c r="E35" s="5">
        <v>158</v>
      </c>
      <c r="F35" s="4">
        <v>45856</v>
      </c>
      <c r="G35" s="4">
        <v>46013</v>
      </c>
      <c r="H35" s="3">
        <v>0</v>
      </c>
      <c r="I35" s="2">
        <v>1920</v>
      </c>
      <c r="J35" s="2">
        <f t="shared" si="1"/>
        <v>12.151898734177216</v>
      </c>
      <c r="K35" s="5">
        <v>156</v>
      </c>
      <c r="L35" s="4">
        <v>46055</v>
      </c>
      <c r="M35" s="4">
        <v>46210</v>
      </c>
      <c r="N35" s="3">
        <v>0.79690000000000005</v>
      </c>
      <c r="O35" s="2">
        <v>1920</v>
      </c>
      <c r="P35" s="2">
        <f t="shared" si="2"/>
        <v>1530.048</v>
      </c>
      <c r="R35" s="15"/>
    </row>
    <row r="36" spans="2:18" x14ac:dyDescent="0.35">
      <c r="B36" s="5">
        <v>33</v>
      </c>
      <c r="C36" s="5" t="s">
        <v>82</v>
      </c>
      <c r="D36" s="6" t="s">
        <v>40</v>
      </c>
      <c r="E36" s="5">
        <v>16</v>
      </c>
      <c r="F36" s="4">
        <v>45987</v>
      </c>
      <c r="G36" s="4">
        <v>46002</v>
      </c>
      <c r="H36" s="12">
        <v>0</v>
      </c>
      <c r="I36" s="2">
        <v>190</v>
      </c>
      <c r="J36" s="2">
        <f t="shared" si="1"/>
        <v>11.875</v>
      </c>
      <c r="K36" s="5">
        <v>16</v>
      </c>
      <c r="L36" s="4">
        <v>46066</v>
      </c>
      <c r="M36" s="4">
        <v>46082</v>
      </c>
      <c r="N36" s="12">
        <v>0</v>
      </c>
      <c r="O36" s="2">
        <v>190</v>
      </c>
      <c r="P36" s="2">
        <f t="shared" si="2"/>
        <v>0</v>
      </c>
      <c r="R36" s="15"/>
    </row>
    <row r="37" spans="2:18" x14ac:dyDescent="0.35">
      <c r="B37" s="5">
        <v>34</v>
      </c>
      <c r="C37" s="5" t="s">
        <v>82</v>
      </c>
      <c r="D37" s="6" t="s">
        <v>39</v>
      </c>
      <c r="E37" s="5">
        <v>74</v>
      </c>
      <c r="F37" s="4">
        <v>45940</v>
      </c>
      <c r="G37" s="4">
        <v>46013</v>
      </c>
      <c r="H37" s="12">
        <v>0</v>
      </c>
      <c r="I37" s="2">
        <v>890</v>
      </c>
      <c r="J37" s="2">
        <f t="shared" si="1"/>
        <v>12.027027027027026</v>
      </c>
      <c r="K37" s="5">
        <v>74</v>
      </c>
      <c r="L37" s="4">
        <v>46065</v>
      </c>
      <c r="M37" s="4">
        <v>46138</v>
      </c>
      <c r="N37" s="12">
        <v>0</v>
      </c>
      <c r="O37" s="2">
        <v>890</v>
      </c>
      <c r="P37" s="2">
        <f t="shared" si="2"/>
        <v>0</v>
      </c>
      <c r="R37" s="15"/>
    </row>
    <row r="38" spans="2:18" x14ac:dyDescent="0.35">
      <c r="B38" s="10">
        <v>35</v>
      </c>
      <c r="C38" s="10" t="s">
        <v>2</v>
      </c>
      <c r="D38" s="11" t="s">
        <v>38</v>
      </c>
      <c r="E38" s="10">
        <v>185</v>
      </c>
      <c r="F38" s="9">
        <v>45829</v>
      </c>
      <c r="G38" s="9">
        <v>46013</v>
      </c>
      <c r="H38" s="8">
        <v>0</v>
      </c>
      <c r="I38" s="7">
        <v>3120</v>
      </c>
      <c r="J38" s="7">
        <f t="shared" si="1"/>
        <v>16.864864864864863</v>
      </c>
      <c r="K38" s="10">
        <v>142</v>
      </c>
      <c r="L38" s="9">
        <v>46055</v>
      </c>
      <c r="M38" s="9">
        <v>46196</v>
      </c>
      <c r="N38" s="8">
        <v>0.51100000000000001</v>
      </c>
      <c r="O38" s="7">
        <v>3120</v>
      </c>
      <c r="P38" s="7">
        <f t="shared" si="2"/>
        <v>1594.32</v>
      </c>
      <c r="R38" s="15"/>
    </row>
    <row r="39" spans="2:18" x14ac:dyDescent="0.35">
      <c r="B39" s="5">
        <v>36</v>
      </c>
      <c r="C39" s="5" t="s">
        <v>82</v>
      </c>
      <c r="D39" s="6" t="s">
        <v>37</v>
      </c>
      <c r="E39" s="5">
        <v>73</v>
      </c>
      <c r="F39" s="4">
        <v>45941</v>
      </c>
      <c r="G39" s="4">
        <v>46013</v>
      </c>
      <c r="H39" s="3">
        <v>0</v>
      </c>
      <c r="I39" s="2">
        <v>570</v>
      </c>
      <c r="J39" s="2">
        <f t="shared" si="1"/>
        <v>7.8082191780821919</v>
      </c>
      <c r="K39" s="5">
        <v>51</v>
      </c>
      <c r="L39" s="4">
        <v>46055</v>
      </c>
      <c r="M39" s="4">
        <v>46106</v>
      </c>
      <c r="N39" s="3">
        <v>0.49480000000000002</v>
      </c>
      <c r="O39" s="2">
        <v>570</v>
      </c>
      <c r="P39" s="2">
        <f t="shared" si="2"/>
        <v>282.036</v>
      </c>
      <c r="R39" s="15"/>
    </row>
    <row r="40" spans="2:18" x14ac:dyDescent="0.35">
      <c r="B40" s="5">
        <v>37</v>
      </c>
      <c r="C40" s="5" t="s">
        <v>82</v>
      </c>
      <c r="D40" s="6" t="s">
        <v>36</v>
      </c>
      <c r="E40" s="5">
        <v>5</v>
      </c>
      <c r="F40" s="4">
        <v>45959</v>
      </c>
      <c r="G40" s="4">
        <v>45963</v>
      </c>
      <c r="H40" s="3">
        <v>0</v>
      </c>
      <c r="I40" s="2">
        <v>50</v>
      </c>
      <c r="J40" s="2">
        <f t="shared" si="1"/>
        <v>10</v>
      </c>
      <c r="K40" s="5">
        <v>3</v>
      </c>
      <c r="L40" s="4">
        <v>46094</v>
      </c>
      <c r="M40" s="4">
        <v>46097</v>
      </c>
      <c r="N40" s="3">
        <v>0.43020000000000003</v>
      </c>
      <c r="O40" s="2">
        <v>50</v>
      </c>
      <c r="P40" s="2">
        <f t="shared" si="2"/>
        <v>21.51</v>
      </c>
      <c r="R40" s="15"/>
    </row>
    <row r="41" spans="2:18" x14ac:dyDescent="0.35">
      <c r="B41" s="5">
        <v>38</v>
      </c>
      <c r="C41" s="5" t="s">
        <v>82</v>
      </c>
      <c r="D41" s="6" t="s">
        <v>35</v>
      </c>
      <c r="E41" s="5">
        <v>90</v>
      </c>
      <c r="F41" s="4">
        <v>45856</v>
      </c>
      <c r="G41" s="4">
        <v>45945</v>
      </c>
      <c r="H41" s="3">
        <v>0</v>
      </c>
      <c r="I41" s="2">
        <v>430</v>
      </c>
      <c r="J41" s="2">
        <f t="shared" si="1"/>
        <v>4.7777777777777777</v>
      </c>
      <c r="K41" s="5">
        <v>40</v>
      </c>
      <c r="L41" s="4">
        <v>46055</v>
      </c>
      <c r="M41" s="4">
        <v>46094</v>
      </c>
      <c r="N41" s="3">
        <v>0.49919999999999998</v>
      </c>
      <c r="O41" s="2">
        <v>430</v>
      </c>
      <c r="P41" s="2">
        <f t="shared" si="2"/>
        <v>214.65599999999998</v>
      </c>
      <c r="R41" s="15"/>
    </row>
    <row r="42" spans="2:18" x14ac:dyDescent="0.35">
      <c r="B42" s="5">
        <v>39</v>
      </c>
      <c r="C42" s="5" t="s">
        <v>82</v>
      </c>
      <c r="D42" s="6" t="s">
        <v>34</v>
      </c>
      <c r="E42" s="5">
        <v>5</v>
      </c>
      <c r="F42" s="4">
        <v>45964</v>
      </c>
      <c r="G42" s="4">
        <v>45968</v>
      </c>
      <c r="H42" s="3">
        <v>0</v>
      </c>
      <c r="I42" s="2">
        <v>140</v>
      </c>
      <c r="J42" s="2">
        <f t="shared" si="1"/>
        <v>28</v>
      </c>
      <c r="K42" s="5">
        <v>5</v>
      </c>
      <c r="L42" s="4">
        <v>46097</v>
      </c>
      <c r="M42" s="4">
        <v>46102</v>
      </c>
      <c r="N42" s="3">
        <v>0.7651</v>
      </c>
      <c r="O42" s="2">
        <v>140</v>
      </c>
      <c r="P42" s="2">
        <f t="shared" si="2"/>
        <v>107.114</v>
      </c>
      <c r="R42" s="15"/>
    </row>
    <row r="43" spans="2:18" x14ac:dyDescent="0.35">
      <c r="B43" s="5">
        <v>40</v>
      </c>
      <c r="C43" s="5" t="s">
        <v>82</v>
      </c>
      <c r="D43" s="6" t="s">
        <v>33</v>
      </c>
      <c r="E43" s="5">
        <v>15</v>
      </c>
      <c r="F43" s="4">
        <v>45978</v>
      </c>
      <c r="G43" s="4">
        <v>45992</v>
      </c>
      <c r="H43" s="3">
        <v>0</v>
      </c>
      <c r="I43" s="2">
        <v>180</v>
      </c>
      <c r="J43" s="2">
        <f t="shared" si="1"/>
        <v>12</v>
      </c>
      <c r="K43" s="5">
        <v>11</v>
      </c>
      <c r="L43" s="4">
        <v>46074</v>
      </c>
      <c r="M43" s="4">
        <v>46085</v>
      </c>
      <c r="N43" s="3">
        <v>0.2203</v>
      </c>
      <c r="O43" s="2">
        <v>180</v>
      </c>
      <c r="P43" s="2">
        <f t="shared" si="2"/>
        <v>39.653999999999996</v>
      </c>
      <c r="R43" s="15"/>
    </row>
    <row r="44" spans="2:18" x14ac:dyDescent="0.35">
      <c r="B44" s="5">
        <v>41</v>
      </c>
      <c r="C44" s="5" t="s">
        <v>82</v>
      </c>
      <c r="D44" s="6" t="s">
        <v>32</v>
      </c>
      <c r="E44" s="5">
        <v>21</v>
      </c>
      <c r="F44" s="4">
        <v>45993</v>
      </c>
      <c r="G44" s="4">
        <v>46013</v>
      </c>
      <c r="H44" s="3">
        <v>0</v>
      </c>
      <c r="I44" s="2">
        <v>152</v>
      </c>
      <c r="J44" s="2">
        <f t="shared" si="1"/>
        <v>7.2380952380952381</v>
      </c>
      <c r="K44" s="5">
        <v>20</v>
      </c>
      <c r="L44" s="4">
        <v>46085</v>
      </c>
      <c r="M44" s="4">
        <v>46105</v>
      </c>
      <c r="N44" s="3">
        <v>3.1199999999999999E-2</v>
      </c>
      <c r="O44" s="2">
        <v>152</v>
      </c>
      <c r="P44" s="2">
        <f t="shared" si="2"/>
        <v>4.7423999999999999</v>
      </c>
      <c r="R44" s="15"/>
    </row>
    <row r="45" spans="2:18" x14ac:dyDescent="0.35">
      <c r="B45" s="5">
        <v>42</v>
      </c>
      <c r="C45" s="5" t="s">
        <v>82</v>
      </c>
      <c r="D45" s="6" t="s">
        <v>31</v>
      </c>
      <c r="E45" s="5">
        <v>128</v>
      </c>
      <c r="F45" s="4">
        <v>45886</v>
      </c>
      <c r="G45" s="4">
        <v>46013</v>
      </c>
      <c r="H45" s="3">
        <v>0</v>
      </c>
      <c r="I45" s="2">
        <v>608</v>
      </c>
      <c r="J45" s="2">
        <f t="shared" si="1"/>
        <v>4.75</v>
      </c>
      <c r="K45" s="5">
        <v>117</v>
      </c>
      <c r="L45" s="4">
        <v>46055</v>
      </c>
      <c r="M45" s="4">
        <v>46171</v>
      </c>
      <c r="N45" s="3">
        <v>0.78049999999999997</v>
      </c>
      <c r="O45" s="2">
        <v>608</v>
      </c>
      <c r="P45" s="2">
        <f t="shared" si="2"/>
        <v>474.54399999999998</v>
      </c>
      <c r="R45" s="15"/>
    </row>
    <row r="46" spans="2:18" x14ac:dyDescent="0.35">
      <c r="B46" s="5">
        <v>43</v>
      </c>
      <c r="C46" s="5" t="s">
        <v>82</v>
      </c>
      <c r="D46" s="6" t="s">
        <v>30</v>
      </c>
      <c r="E46" s="5">
        <v>30</v>
      </c>
      <c r="F46" s="4">
        <v>45954</v>
      </c>
      <c r="G46" s="4">
        <v>45983</v>
      </c>
      <c r="H46" s="3">
        <v>0</v>
      </c>
      <c r="I46" s="2">
        <v>100</v>
      </c>
      <c r="J46" s="2">
        <f t="shared" si="1"/>
        <v>3.3333333333333335</v>
      </c>
      <c r="K46" s="5">
        <v>21</v>
      </c>
      <c r="L46" s="4">
        <v>46055</v>
      </c>
      <c r="M46" s="4">
        <v>46075</v>
      </c>
      <c r="N46" s="3">
        <v>0.26889999999999997</v>
      </c>
      <c r="O46" s="2">
        <v>100</v>
      </c>
      <c r="P46" s="2">
        <f t="shared" si="2"/>
        <v>26.889999999999997</v>
      </c>
      <c r="R46" s="15"/>
    </row>
    <row r="47" spans="2:18" x14ac:dyDescent="0.35">
      <c r="B47" s="5">
        <v>44</v>
      </c>
      <c r="C47" s="5" t="s">
        <v>82</v>
      </c>
      <c r="D47" s="6" t="s">
        <v>29</v>
      </c>
      <c r="E47" s="5">
        <v>60</v>
      </c>
      <c r="F47" s="4">
        <v>45954</v>
      </c>
      <c r="G47" s="4">
        <v>46013</v>
      </c>
      <c r="H47" s="3">
        <v>0</v>
      </c>
      <c r="I47" s="2">
        <v>281</v>
      </c>
      <c r="J47" s="2">
        <f t="shared" si="1"/>
        <v>4.6833333333333336</v>
      </c>
      <c r="K47" s="5">
        <v>47</v>
      </c>
      <c r="L47" s="4">
        <v>46056</v>
      </c>
      <c r="M47" s="4">
        <v>46104</v>
      </c>
      <c r="N47" s="3">
        <v>0.15479999999999999</v>
      </c>
      <c r="O47" s="2">
        <v>281</v>
      </c>
      <c r="P47" s="2">
        <f t="shared" si="2"/>
        <v>43.498799999999996</v>
      </c>
      <c r="R47" s="15"/>
    </row>
    <row r="48" spans="2:18" x14ac:dyDescent="0.35">
      <c r="B48" s="5">
        <v>45</v>
      </c>
      <c r="C48" s="5" t="s">
        <v>82</v>
      </c>
      <c r="D48" s="6" t="s">
        <v>28</v>
      </c>
      <c r="E48" s="5">
        <v>50</v>
      </c>
      <c r="F48" s="4">
        <v>45904</v>
      </c>
      <c r="G48" s="4">
        <v>45953</v>
      </c>
      <c r="H48" s="3">
        <v>0</v>
      </c>
      <c r="I48" s="2">
        <v>229</v>
      </c>
      <c r="J48" s="2">
        <f t="shared" si="1"/>
        <v>4.58</v>
      </c>
      <c r="K48" s="5">
        <v>2</v>
      </c>
      <c r="L48" s="4">
        <v>46055</v>
      </c>
      <c r="M48" s="4">
        <v>46056</v>
      </c>
      <c r="N48" s="3">
        <v>0.65639999999999998</v>
      </c>
      <c r="O48" s="2">
        <v>229</v>
      </c>
      <c r="P48" s="2">
        <f t="shared" si="2"/>
        <v>150.31559999999999</v>
      </c>
      <c r="R48" s="15"/>
    </row>
    <row r="49" spans="2:18" x14ac:dyDescent="0.35">
      <c r="B49" s="5">
        <v>46</v>
      </c>
      <c r="C49" s="5" t="s">
        <v>82</v>
      </c>
      <c r="D49" s="6" t="s">
        <v>27</v>
      </c>
      <c r="E49" s="5">
        <v>7</v>
      </c>
      <c r="F49" s="4">
        <v>45915</v>
      </c>
      <c r="G49" s="4">
        <v>45921</v>
      </c>
      <c r="H49" s="3">
        <v>0</v>
      </c>
      <c r="I49" s="2">
        <v>117</v>
      </c>
      <c r="J49" s="2">
        <f t="shared" si="1"/>
        <v>16.714285714285715</v>
      </c>
      <c r="K49" s="5">
        <v>0</v>
      </c>
      <c r="L49" s="4">
        <v>46055</v>
      </c>
      <c r="M49" s="4">
        <v>46055</v>
      </c>
      <c r="N49" s="3">
        <v>0.84060000000000001</v>
      </c>
      <c r="O49" s="2">
        <v>117</v>
      </c>
      <c r="P49" s="2">
        <f t="shared" si="2"/>
        <v>98.350200000000001</v>
      </c>
      <c r="R49" s="15"/>
    </row>
    <row r="50" spans="2:18" x14ac:dyDescent="0.35">
      <c r="B50" s="5">
        <v>47</v>
      </c>
      <c r="C50" s="5" t="s">
        <v>82</v>
      </c>
      <c r="D50" s="6" t="s">
        <v>26</v>
      </c>
      <c r="E50" s="5">
        <v>5</v>
      </c>
      <c r="F50" s="4">
        <v>45922</v>
      </c>
      <c r="G50" s="4">
        <v>45926</v>
      </c>
      <c r="H50" s="3">
        <v>0</v>
      </c>
      <c r="I50" s="2">
        <v>26</v>
      </c>
      <c r="J50" s="2">
        <f t="shared" si="1"/>
        <v>5.2</v>
      </c>
      <c r="K50" s="5">
        <v>5</v>
      </c>
      <c r="L50" s="4">
        <v>46055</v>
      </c>
      <c r="M50" s="4">
        <v>46060</v>
      </c>
      <c r="N50" s="3">
        <v>0.5534</v>
      </c>
      <c r="O50" s="2">
        <v>26</v>
      </c>
      <c r="P50" s="2">
        <f t="shared" si="2"/>
        <v>14.388400000000001</v>
      </c>
      <c r="R50" s="15"/>
    </row>
    <row r="51" spans="2:18" x14ac:dyDescent="0.35">
      <c r="B51" s="5">
        <v>48</v>
      </c>
      <c r="C51" s="5" t="s">
        <v>82</v>
      </c>
      <c r="D51" s="6" t="s">
        <v>25</v>
      </c>
      <c r="E51" s="5">
        <v>7</v>
      </c>
      <c r="F51" s="4">
        <v>45927</v>
      </c>
      <c r="G51" s="4">
        <v>45933</v>
      </c>
      <c r="H51" s="3">
        <v>0</v>
      </c>
      <c r="I51" s="2">
        <v>219</v>
      </c>
      <c r="J51" s="2">
        <f t="shared" si="1"/>
        <v>31.285714285714285</v>
      </c>
      <c r="K51" s="5">
        <v>12</v>
      </c>
      <c r="L51" s="4">
        <v>46055</v>
      </c>
      <c r="M51" s="4">
        <v>46066</v>
      </c>
      <c r="N51" s="3">
        <v>0.61299999999999999</v>
      </c>
      <c r="O51" s="2">
        <v>219</v>
      </c>
      <c r="P51" s="2">
        <f t="shared" si="2"/>
        <v>134.24699999999999</v>
      </c>
      <c r="R51" s="15"/>
    </row>
    <row r="52" spans="2:18" x14ac:dyDescent="0.35">
      <c r="B52" s="5">
        <v>49</v>
      </c>
      <c r="C52" s="5" t="s">
        <v>82</v>
      </c>
      <c r="D52" s="6" t="s">
        <v>24</v>
      </c>
      <c r="E52" s="5">
        <v>5</v>
      </c>
      <c r="F52" s="4">
        <v>46009</v>
      </c>
      <c r="G52" s="4">
        <v>46013</v>
      </c>
      <c r="H52" s="12">
        <v>0</v>
      </c>
      <c r="I52" s="2">
        <v>18</v>
      </c>
      <c r="J52" s="2">
        <f t="shared" si="1"/>
        <v>3.6</v>
      </c>
      <c r="K52" s="5">
        <v>5</v>
      </c>
      <c r="L52" s="4">
        <v>46192</v>
      </c>
      <c r="M52" s="4">
        <v>46196</v>
      </c>
      <c r="N52" s="12">
        <v>0</v>
      </c>
      <c r="O52" s="2">
        <v>18</v>
      </c>
      <c r="P52" s="2">
        <f t="shared" si="2"/>
        <v>0</v>
      </c>
      <c r="R52" s="15"/>
    </row>
    <row r="53" spans="2:18" x14ac:dyDescent="0.35">
      <c r="B53" s="10">
        <v>50</v>
      </c>
      <c r="C53" s="10" t="s">
        <v>2</v>
      </c>
      <c r="D53" s="11" t="s">
        <v>23</v>
      </c>
      <c r="E53" s="10">
        <v>185</v>
      </c>
      <c r="F53" s="9">
        <v>45828</v>
      </c>
      <c r="G53" s="9">
        <v>46012</v>
      </c>
      <c r="H53" s="8">
        <v>0</v>
      </c>
      <c r="I53" s="7">
        <v>5972</v>
      </c>
      <c r="J53" s="7">
        <f t="shared" si="1"/>
        <v>32.281081081081084</v>
      </c>
      <c r="K53" s="10">
        <v>100</v>
      </c>
      <c r="L53" s="9">
        <v>46055</v>
      </c>
      <c r="M53" s="9">
        <v>46154</v>
      </c>
      <c r="N53" s="8">
        <v>0.59419999999999995</v>
      </c>
      <c r="O53" s="7">
        <v>5972</v>
      </c>
      <c r="P53" s="7">
        <f t="shared" si="2"/>
        <v>3548.5623999999998</v>
      </c>
      <c r="R53" s="15"/>
    </row>
    <row r="54" spans="2:18" x14ac:dyDescent="0.35">
      <c r="B54" s="10">
        <v>51</v>
      </c>
      <c r="C54" s="10" t="s">
        <v>2</v>
      </c>
      <c r="D54" s="11" t="s">
        <v>22</v>
      </c>
      <c r="E54" s="10">
        <v>185</v>
      </c>
      <c r="F54" s="9">
        <v>45828</v>
      </c>
      <c r="G54" s="9">
        <v>46012</v>
      </c>
      <c r="H54" s="8">
        <v>0</v>
      </c>
      <c r="I54" s="7">
        <v>5972</v>
      </c>
      <c r="J54" s="7">
        <f t="shared" si="1"/>
        <v>32.281081081081084</v>
      </c>
      <c r="K54" s="10">
        <v>100</v>
      </c>
      <c r="L54" s="9">
        <v>46055</v>
      </c>
      <c r="M54" s="9">
        <v>46154</v>
      </c>
      <c r="N54" s="8">
        <v>0.59419999999999995</v>
      </c>
      <c r="O54" s="7">
        <v>5972</v>
      </c>
      <c r="P54" s="7">
        <f t="shared" si="2"/>
        <v>3548.5623999999998</v>
      </c>
      <c r="R54" s="15"/>
    </row>
    <row r="55" spans="2:18" x14ac:dyDescent="0.35">
      <c r="B55" s="5">
        <v>52</v>
      </c>
      <c r="C55" s="5" t="s">
        <v>82</v>
      </c>
      <c r="D55" s="6" t="s">
        <v>21</v>
      </c>
      <c r="E55" s="5">
        <v>185</v>
      </c>
      <c r="F55" s="4">
        <v>45828</v>
      </c>
      <c r="G55" s="4">
        <v>46012</v>
      </c>
      <c r="H55" s="3">
        <v>0</v>
      </c>
      <c r="I55" s="2">
        <v>5972</v>
      </c>
      <c r="J55" s="2">
        <f t="shared" si="1"/>
        <v>32.281081081081084</v>
      </c>
      <c r="K55" s="5">
        <v>100</v>
      </c>
      <c r="L55" s="4">
        <v>46055</v>
      </c>
      <c r="M55" s="4">
        <v>46154</v>
      </c>
      <c r="N55" s="3">
        <v>0.59419999999999995</v>
      </c>
      <c r="O55" s="2">
        <v>5972</v>
      </c>
      <c r="P55" s="2">
        <f t="shared" si="2"/>
        <v>3548.5623999999998</v>
      </c>
      <c r="R55" s="15"/>
    </row>
    <row r="56" spans="2:18" x14ac:dyDescent="0.35">
      <c r="B56" s="10">
        <v>53</v>
      </c>
      <c r="C56" s="10" t="s">
        <v>2</v>
      </c>
      <c r="D56" s="11" t="s">
        <v>20</v>
      </c>
      <c r="E56" s="10">
        <v>164</v>
      </c>
      <c r="F56" s="9">
        <v>45808</v>
      </c>
      <c r="G56" s="9">
        <v>45971</v>
      </c>
      <c r="H56" s="8">
        <v>0</v>
      </c>
      <c r="I56" s="7">
        <v>3362</v>
      </c>
      <c r="J56" s="7">
        <f t="shared" si="1"/>
        <v>20.5</v>
      </c>
      <c r="K56" s="10">
        <v>15</v>
      </c>
      <c r="L56" s="9">
        <v>46055</v>
      </c>
      <c r="M56" s="9">
        <v>46069</v>
      </c>
      <c r="N56" s="8">
        <v>0.80589999999999995</v>
      </c>
      <c r="O56" s="7">
        <v>3362</v>
      </c>
      <c r="P56" s="7">
        <f t="shared" si="2"/>
        <v>2709.4357999999997</v>
      </c>
      <c r="R56" s="15"/>
    </row>
    <row r="57" spans="2:18" x14ac:dyDescent="0.35">
      <c r="B57" s="10">
        <v>54</v>
      </c>
      <c r="C57" s="10" t="s">
        <v>2</v>
      </c>
      <c r="D57" s="11" t="s">
        <v>19</v>
      </c>
      <c r="E57" s="10">
        <v>143</v>
      </c>
      <c r="F57" s="9">
        <v>45824</v>
      </c>
      <c r="G57" s="9">
        <v>45966</v>
      </c>
      <c r="H57" s="8">
        <v>0</v>
      </c>
      <c r="I57" s="7">
        <v>1485</v>
      </c>
      <c r="J57" s="7">
        <f t="shared" si="1"/>
        <v>10.384615384615385</v>
      </c>
      <c r="K57" s="10">
        <v>3</v>
      </c>
      <c r="L57" s="9">
        <v>46055</v>
      </c>
      <c r="M57" s="9">
        <v>46057</v>
      </c>
      <c r="N57" s="8">
        <v>0.87829999999999997</v>
      </c>
      <c r="O57" s="7">
        <v>1485</v>
      </c>
      <c r="P57" s="7">
        <f t="shared" si="2"/>
        <v>1304.2755</v>
      </c>
      <c r="R57" s="15"/>
    </row>
    <row r="58" spans="2:18" x14ac:dyDescent="0.35">
      <c r="B58" s="5">
        <v>55</v>
      </c>
      <c r="C58" s="5" t="s">
        <v>82</v>
      </c>
      <c r="D58" s="6" t="s">
        <v>18</v>
      </c>
      <c r="E58" s="5">
        <v>143</v>
      </c>
      <c r="F58" s="4">
        <v>45824</v>
      </c>
      <c r="G58" s="4">
        <v>45966</v>
      </c>
      <c r="H58" s="3">
        <v>0</v>
      </c>
      <c r="I58" s="2">
        <v>1485</v>
      </c>
      <c r="J58" s="2">
        <f t="shared" si="1"/>
        <v>10.384615384615385</v>
      </c>
      <c r="K58" s="5">
        <v>3</v>
      </c>
      <c r="L58" s="4">
        <v>46055</v>
      </c>
      <c r="M58" s="4">
        <v>46057</v>
      </c>
      <c r="N58" s="3">
        <v>0.87829999999999997</v>
      </c>
      <c r="O58" s="2">
        <v>1485</v>
      </c>
      <c r="P58" s="2">
        <f t="shared" si="2"/>
        <v>1304.2755</v>
      </c>
      <c r="R58" s="15"/>
    </row>
    <row r="59" spans="2:18" x14ac:dyDescent="0.35">
      <c r="B59" s="10">
        <v>56</v>
      </c>
      <c r="C59" s="10" t="s">
        <v>2</v>
      </c>
      <c r="D59" s="11" t="s">
        <v>17</v>
      </c>
      <c r="E59" s="10">
        <v>139</v>
      </c>
      <c r="F59" s="9">
        <v>45808</v>
      </c>
      <c r="G59" s="9">
        <v>45946</v>
      </c>
      <c r="H59" s="8">
        <v>0</v>
      </c>
      <c r="I59" s="7">
        <v>1432</v>
      </c>
      <c r="J59" s="7">
        <f t="shared" si="1"/>
        <v>10.302158273381295</v>
      </c>
      <c r="K59" s="10">
        <v>4</v>
      </c>
      <c r="L59" s="9">
        <v>46055</v>
      </c>
      <c r="M59" s="9">
        <v>46058</v>
      </c>
      <c r="N59" s="8">
        <v>0.84770000000000001</v>
      </c>
      <c r="O59" s="7">
        <v>1432</v>
      </c>
      <c r="P59" s="7">
        <f t="shared" si="2"/>
        <v>1213.9064000000001</v>
      </c>
      <c r="R59" s="15"/>
    </row>
    <row r="60" spans="2:18" x14ac:dyDescent="0.35">
      <c r="B60" s="5">
        <v>57</v>
      </c>
      <c r="C60" s="5" t="s">
        <v>82</v>
      </c>
      <c r="D60" s="6" t="s">
        <v>16</v>
      </c>
      <c r="E60" s="5">
        <v>139</v>
      </c>
      <c r="F60" s="4">
        <v>45808</v>
      </c>
      <c r="G60" s="4">
        <v>45946</v>
      </c>
      <c r="H60" s="3">
        <v>0</v>
      </c>
      <c r="I60" s="2">
        <v>1432</v>
      </c>
      <c r="J60" s="2">
        <f t="shared" si="1"/>
        <v>10.302158273381295</v>
      </c>
      <c r="K60" s="5">
        <v>4</v>
      </c>
      <c r="L60" s="4">
        <v>46055</v>
      </c>
      <c r="M60" s="4">
        <v>46058</v>
      </c>
      <c r="N60" s="3">
        <v>0.84770000000000001</v>
      </c>
      <c r="O60" s="2">
        <v>1432</v>
      </c>
      <c r="P60" s="2">
        <f t="shared" si="2"/>
        <v>1213.9064000000001</v>
      </c>
      <c r="R60" s="15"/>
    </row>
    <row r="61" spans="2:18" x14ac:dyDescent="0.35">
      <c r="B61" s="10">
        <v>58</v>
      </c>
      <c r="C61" s="10" t="s">
        <v>2</v>
      </c>
      <c r="D61" s="11" t="s">
        <v>15</v>
      </c>
      <c r="E61" s="10">
        <v>90</v>
      </c>
      <c r="F61" s="9">
        <v>45882</v>
      </c>
      <c r="G61" s="9">
        <v>45971</v>
      </c>
      <c r="H61" s="8">
        <v>0</v>
      </c>
      <c r="I61" s="7">
        <v>385</v>
      </c>
      <c r="J61" s="7">
        <f t="shared" si="1"/>
        <v>4.2777777777777777</v>
      </c>
      <c r="K61" s="10">
        <v>8</v>
      </c>
      <c r="L61" s="9">
        <v>46055</v>
      </c>
      <c r="M61" s="9">
        <v>46062</v>
      </c>
      <c r="N61" s="8">
        <v>0.52739999999999998</v>
      </c>
      <c r="O61" s="7">
        <v>385</v>
      </c>
      <c r="P61" s="7">
        <f t="shared" si="2"/>
        <v>203.04899999999998</v>
      </c>
      <c r="R61" s="15"/>
    </row>
    <row r="62" spans="2:18" x14ac:dyDescent="0.35">
      <c r="B62" s="5">
        <v>59</v>
      </c>
      <c r="C62" s="5" t="s">
        <v>82</v>
      </c>
      <c r="D62" s="6" t="s">
        <v>14</v>
      </c>
      <c r="E62" s="5">
        <v>5</v>
      </c>
      <c r="F62" s="4">
        <v>45887</v>
      </c>
      <c r="G62" s="4">
        <v>45891</v>
      </c>
      <c r="H62" s="3">
        <v>0</v>
      </c>
      <c r="I62" s="2">
        <v>69</v>
      </c>
      <c r="J62" s="2">
        <f t="shared" si="1"/>
        <v>13.8</v>
      </c>
      <c r="K62" s="5">
        <v>1</v>
      </c>
      <c r="L62" s="4">
        <v>46055</v>
      </c>
      <c r="M62" s="4">
        <v>46056</v>
      </c>
      <c r="N62" s="3">
        <v>0.67220000000000002</v>
      </c>
      <c r="O62" s="2">
        <v>69</v>
      </c>
      <c r="P62" s="2">
        <f t="shared" si="2"/>
        <v>46.381799999999998</v>
      </c>
      <c r="R62" s="15"/>
    </row>
    <row r="63" spans="2:18" x14ac:dyDescent="0.35">
      <c r="B63" s="5">
        <v>60</v>
      </c>
      <c r="C63" s="5" t="s">
        <v>82</v>
      </c>
      <c r="D63" s="6" t="s">
        <v>13</v>
      </c>
      <c r="E63" s="5">
        <v>7</v>
      </c>
      <c r="F63" s="4">
        <v>45916</v>
      </c>
      <c r="G63" s="4">
        <v>45922</v>
      </c>
      <c r="H63" s="3">
        <v>0</v>
      </c>
      <c r="I63" s="2">
        <v>170</v>
      </c>
      <c r="J63" s="2">
        <f t="shared" si="1"/>
        <v>24.285714285714285</v>
      </c>
      <c r="K63" s="5">
        <v>4</v>
      </c>
      <c r="L63" s="4">
        <v>46055</v>
      </c>
      <c r="M63" s="4">
        <v>46058</v>
      </c>
      <c r="N63" s="3">
        <v>0.69589999999999996</v>
      </c>
      <c r="O63" s="2">
        <v>170</v>
      </c>
      <c r="P63" s="2">
        <f t="shared" si="2"/>
        <v>118.303</v>
      </c>
      <c r="R63" s="15"/>
    </row>
    <row r="64" spans="2:18" x14ac:dyDescent="0.35">
      <c r="B64" s="5">
        <v>61</v>
      </c>
      <c r="C64" s="5" t="s">
        <v>82</v>
      </c>
      <c r="D64" s="6" t="s">
        <v>12</v>
      </c>
      <c r="E64" s="5">
        <v>6</v>
      </c>
      <c r="F64" s="4">
        <v>45923</v>
      </c>
      <c r="G64" s="4">
        <v>45928</v>
      </c>
      <c r="H64" s="3">
        <v>0</v>
      </c>
      <c r="I64" s="2">
        <v>146</v>
      </c>
      <c r="J64" s="2">
        <f t="shared" si="1"/>
        <v>24.333333333333332</v>
      </c>
      <c r="K64" s="5">
        <v>3</v>
      </c>
      <c r="L64" s="4">
        <v>46060</v>
      </c>
      <c r="M64" s="4">
        <v>46062</v>
      </c>
      <c r="N64" s="3">
        <v>0.33200000000000002</v>
      </c>
      <c r="O64" s="2">
        <v>146</v>
      </c>
      <c r="P64" s="2">
        <f t="shared" si="2"/>
        <v>48.472000000000001</v>
      </c>
      <c r="R64" s="15"/>
    </row>
    <row r="65" spans="2:18" x14ac:dyDescent="0.35">
      <c r="B65" s="10">
        <v>62</v>
      </c>
      <c r="C65" s="10" t="s">
        <v>2</v>
      </c>
      <c r="D65" s="11" t="s">
        <v>11</v>
      </c>
      <c r="E65" s="10">
        <v>84</v>
      </c>
      <c r="F65" s="9">
        <v>45813</v>
      </c>
      <c r="G65" s="9">
        <v>45896</v>
      </c>
      <c r="H65" s="13">
        <v>0</v>
      </c>
      <c r="I65" s="7">
        <v>60</v>
      </c>
      <c r="J65" s="7">
        <f t="shared" si="1"/>
        <v>0.7142857142857143</v>
      </c>
      <c r="K65" s="10">
        <v>5</v>
      </c>
      <c r="L65" s="9">
        <v>46065</v>
      </c>
      <c r="M65" s="9">
        <v>46069</v>
      </c>
      <c r="N65" s="13">
        <v>0</v>
      </c>
      <c r="O65" s="7">
        <v>60</v>
      </c>
      <c r="P65" s="7">
        <f t="shared" si="2"/>
        <v>0</v>
      </c>
      <c r="R65" s="15"/>
    </row>
    <row r="66" spans="2:18" x14ac:dyDescent="0.35">
      <c r="B66" s="5">
        <v>63</v>
      </c>
      <c r="C66" s="5" t="s">
        <v>82</v>
      </c>
      <c r="D66" s="6" t="s">
        <v>10</v>
      </c>
      <c r="E66" s="5">
        <v>5</v>
      </c>
      <c r="F66" s="4">
        <v>45856</v>
      </c>
      <c r="G66" s="4">
        <v>45860</v>
      </c>
      <c r="H66" s="12">
        <v>0</v>
      </c>
      <c r="I66" s="2">
        <v>60</v>
      </c>
      <c r="J66" s="2">
        <f t="shared" si="1"/>
        <v>12</v>
      </c>
      <c r="K66" s="5">
        <v>5</v>
      </c>
      <c r="L66" s="4">
        <v>46065</v>
      </c>
      <c r="M66" s="4">
        <v>46069</v>
      </c>
      <c r="N66" s="12">
        <v>0</v>
      </c>
      <c r="O66" s="2">
        <v>60</v>
      </c>
      <c r="P66" s="2">
        <f t="shared" si="2"/>
        <v>0</v>
      </c>
      <c r="R66" s="15"/>
    </row>
    <row r="67" spans="2:18" x14ac:dyDescent="0.35">
      <c r="B67" s="10">
        <v>64</v>
      </c>
      <c r="C67" s="10" t="s">
        <v>2</v>
      </c>
      <c r="D67" s="11" t="s">
        <v>9</v>
      </c>
      <c r="E67" s="10">
        <v>104</v>
      </c>
      <c r="F67" s="9">
        <v>45910</v>
      </c>
      <c r="G67" s="9">
        <v>46013</v>
      </c>
      <c r="H67" s="8">
        <v>0</v>
      </c>
      <c r="I67" s="7">
        <v>2752</v>
      </c>
      <c r="J67" s="7">
        <f t="shared" si="1"/>
        <v>26.46153846153846</v>
      </c>
      <c r="K67" s="10">
        <v>7</v>
      </c>
      <c r="L67" s="9">
        <v>46055</v>
      </c>
      <c r="M67" s="9">
        <v>46061</v>
      </c>
      <c r="N67" s="8">
        <v>0.54659999999999997</v>
      </c>
      <c r="O67" s="7">
        <v>2752</v>
      </c>
      <c r="P67" s="7">
        <f t="shared" si="2"/>
        <v>1504.2431999999999</v>
      </c>
      <c r="R67" s="15"/>
    </row>
    <row r="68" spans="2:18" x14ac:dyDescent="0.35">
      <c r="B68" s="10">
        <v>65</v>
      </c>
      <c r="C68" s="10" t="s">
        <v>2</v>
      </c>
      <c r="D68" s="11" t="s">
        <v>8</v>
      </c>
      <c r="E68" s="10">
        <v>96</v>
      </c>
      <c r="F68" s="9">
        <v>45910</v>
      </c>
      <c r="G68" s="9">
        <v>46005</v>
      </c>
      <c r="H68" s="8">
        <v>0</v>
      </c>
      <c r="I68" s="7">
        <v>898</v>
      </c>
      <c r="J68" s="7">
        <f t="shared" si="1"/>
        <v>9.3541666666666661</v>
      </c>
      <c r="K68" s="10">
        <v>7</v>
      </c>
      <c r="L68" s="9">
        <v>46055</v>
      </c>
      <c r="M68" s="9">
        <v>46061</v>
      </c>
      <c r="N68" s="8">
        <v>0.32229999999999998</v>
      </c>
      <c r="O68" s="7">
        <v>898</v>
      </c>
      <c r="P68" s="7">
        <f t="shared" si="2"/>
        <v>289.42539999999997</v>
      </c>
      <c r="R68" s="15"/>
    </row>
    <row r="69" spans="2:18" x14ac:dyDescent="0.35">
      <c r="B69" s="5">
        <v>66</v>
      </c>
      <c r="C69" s="5" t="s">
        <v>82</v>
      </c>
      <c r="D69" s="6" t="s">
        <v>7</v>
      </c>
      <c r="E69" s="5">
        <v>5</v>
      </c>
      <c r="F69" s="4">
        <v>45910</v>
      </c>
      <c r="G69" s="4">
        <v>45914</v>
      </c>
      <c r="H69" s="3">
        <v>0</v>
      </c>
      <c r="I69" s="2">
        <v>38</v>
      </c>
      <c r="J69" s="2">
        <f t="shared" ref="J69:J75" si="3">+I69/E69</f>
        <v>7.6</v>
      </c>
      <c r="K69" s="5">
        <v>0</v>
      </c>
      <c r="L69" s="4">
        <v>46055</v>
      </c>
      <c r="M69" s="4">
        <v>46055</v>
      </c>
      <c r="N69" s="3">
        <v>9.11E-2</v>
      </c>
      <c r="O69" s="2">
        <v>38</v>
      </c>
      <c r="P69" s="2">
        <f t="shared" si="2"/>
        <v>3.4618000000000002</v>
      </c>
      <c r="R69" s="15"/>
    </row>
    <row r="70" spans="2:18" x14ac:dyDescent="0.35">
      <c r="B70" s="5">
        <v>67</v>
      </c>
      <c r="C70" s="5" t="s">
        <v>82</v>
      </c>
      <c r="D70" s="6" t="s">
        <v>6</v>
      </c>
      <c r="E70" s="5">
        <v>5</v>
      </c>
      <c r="F70" s="4">
        <v>46001</v>
      </c>
      <c r="G70" s="4">
        <v>46005</v>
      </c>
      <c r="H70" s="3">
        <v>0</v>
      </c>
      <c r="I70" s="2">
        <v>24</v>
      </c>
      <c r="J70" s="2">
        <f t="shared" si="3"/>
        <v>4.8</v>
      </c>
      <c r="K70" s="5">
        <v>0</v>
      </c>
      <c r="L70" s="4">
        <v>46061</v>
      </c>
      <c r="M70" s="4">
        <v>46061</v>
      </c>
      <c r="N70" s="3">
        <v>5.9700000000000003E-2</v>
      </c>
      <c r="O70" s="2">
        <v>24</v>
      </c>
      <c r="P70" s="2">
        <f t="shared" si="2"/>
        <v>1.4328000000000001</v>
      </c>
      <c r="R70" s="15"/>
    </row>
    <row r="71" spans="2:18" x14ac:dyDescent="0.35">
      <c r="B71" s="5">
        <v>68</v>
      </c>
      <c r="C71" s="5" t="s">
        <v>82</v>
      </c>
      <c r="D71" s="6" t="s">
        <v>5</v>
      </c>
      <c r="E71" s="5">
        <v>18</v>
      </c>
      <c r="F71" s="4">
        <v>45983</v>
      </c>
      <c r="G71" s="4">
        <v>46000</v>
      </c>
      <c r="H71" s="3">
        <v>0</v>
      </c>
      <c r="I71" s="2">
        <v>449</v>
      </c>
      <c r="J71" s="2">
        <f t="shared" si="3"/>
        <v>24.944444444444443</v>
      </c>
      <c r="K71" s="5">
        <v>1</v>
      </c>
      <c r="L71" s="4">
        <v>46060</v>
      </c>
      <c r="M71" s="4">
        <v>46061</v>
      </c>
      <c r="N71" s="3">
        <v>0.54520000000000002</v>
      </c>
      <c r="O71" s="2">
        <v>449</v>
      </c>
      <c r="P71" s="2">
        <f t="shared" si="2"/>
        <v>244.79480000000001</v>
      </c>
      <c r="R71" s="15"/>
    </row>
    <row r="72" spans="2:18" x14ac:dyDescent="0.35">
      <c r="B72" s="5">
        <v>69</v>
      </c>
      <c r="C72" s="5" t="s">
        <v>82</v>
      </c>
      <c r="D72" s="6" t="s">
        <v>4</v>
      </c>
      <c r="E72" s="5">
        <v>5</v>
      </c>
      <c r="F72" s="4">
        <v>45978</v>
      </c>
      <c r="G72" s="4">
        <v>45982</v>
      </c>
      <c r="H72" s="3">
        <v>0</v>
      </c>
      <c r="I72" s="2">
        <v>59</v>
      </c>
      <c r="J72" s="2">
        <f t="shared" si="3"/>
        <v>11.8</v>
      </c>
      <c r="K72" s="5">
        <v>5</v>
      </c>
      <c r="L72" s="4">
        <v>46055</v>
      </c>
      <c r="M72" s="4">
        <v>46060</v>
      </c>
      <c r="N72" s="3">
        <v>0.13439999999999999</v>
      </c>
      <c r="O72" s="2">
        <v>59</v>
      </c>
      <c r="P72" s="2">
        <f t="shared" si="2"/>
        <v>7.9295999999999998</v>
      </c>
      <c r="R72" s="15"/>
    </row>
    <row r="73" spans="2:18" x14ac:dyDescent="0.35">
      <c r="B73" s="5">
        <v>70</v>
      </c>
      <c r="C73" s="5" t="s">
        <v>82</v>
      </c>
      <c r="D73" s="6" t="s">
        <v>3</v>
      </c>
      <c r="E73" s="5">
        <v>13</v>
      </c>
      <c r="F73" s="4">
        <v>45965</v>
      </c>
      <c r="G73" s="4">
        <v>45977</v>
      </c>
      <c r="H73" s="3">
        <v>0</v>
      </c>
      <c r="I73" s="2">
        <v>328</v>
      </c>
      <c r="J73" s="2">
        <f t="shared" si="3"/>
        <v>25.23076923076923</v>
      </c>
      <c r="K73" s="5">
        <v>1</v>
      </c>
      <c r="L73" s="4">
        <v>46055</v>
      </c>
      <c r="M73" s="4">
        <v>46055</v>
      </c>
      <c r="N73" s="3">
        <v>0.45419999999999999</v>
      </c>
      <c r="O73" s="2">
        <v>328</v>
      </c>
      <c r="P73" s="2">
        <f t="shared" si="2"/>
        <v>148.9776</v>
      </c>
      <c r="R73" s="15"/>
    </row>
    <row r="74" spans="2:18" x14ac:dyDescent="0.35">
      <c r="B74" s="10">
        <v>71</v>
      </c>
      <c r="C74" s="10" t="s">
        <v>2</v>
      </c>
      <c r="D74" s="11" t="s">
        <v>1</v>
      </c>
      <c r="E74" s="10">
        <v>79</v>
      </c>
      <c r="F74" s="9">
        <v>45935</v>
      </c>
      <c r="G74" s="9">
        <v>46013</v>
      </c>
      <c r="H74" s="8">
        <v>0</v>
      </c>
      <c r="I74" s="7">
        <v>1854</v>
      </c>
      <c r="J74" s="7">
        <f t="shared" si="3"/>
        <v>23.468354430379748</v>
      </c>
      <c r="K74" s="10">
        <v>4</v>
      </c>
      <c r="L74" s="9">
        <v>46055</v>
      </c>
      <c r="M74" s="9">
        <v>46058</v>
      </c>
      <c r="N74" s="8">
        <v>0.81910000000000005</v>
      </c>
      <c r="O74" s="7">
        <v>1854</v>
      </c>
      <c r="P74" s="7">
        <f t="shared" ref="P74:P75" si="4">+O74*N74</f>
        <v>1518.6114</v>
      </c>
      <c r="R74" s="15"/>
    </row>
    <row r="75" spans="2:18" x14ac:dyDescent="0.35">
      <c r="B75" s="5">
        <v>72</v>
      </c>
      <c r="C75" s="5" t="s">
        <v>82</v>
      </c>
      <c r="D75" s="6" t="s">
        <v>0</v>
      </c>
      <c r="E75" s="5">
        <v>74</v>
      </c>
      <c r="F75" s="4">
        <v>45935</v>
      </c>
      <c r="G75" s="4">
        <v>46008</v>
      </c>
      <c r="H75" s="3">
        <v>0</v>
      </c>
      <c r="I75" s="2">
        <v>1854</v>
      </c>
      <c r="J75" s="2">
        <f t="shared" si="3"/>
        <v>25.054054054054053</v>
      </c>
      <c r="K75" s="5">
        <v>4</v>
      </c>
      <c r="L75" s="4">
        <v>46055</v>
      </c>
      <c r="M75" s="4">
        <v>46058</v>
      </c>
      <c r="N75" s="3">
        <v>0.81910000000000005</v>
      </c>
      <c r="O75" s="2">
        <v>1854</v>
      </c>
      <c r="P75" s="2">
        <f t="shared" si="4"/>
        <v>1518.6114</v>
      </c>
      <c r="R75" s="15"/>
    </row>
  </sheetData>
  <autoFilter ref="C3:O75" xr:uid="{40A1E5AA-D824-4563-8855-5A2BA24ADD2B}"/>
  <mergeCells count="2">
    <mergeCell ref="E2:J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 Enero</vt:lpstr>
      <vt:lpstr>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Deivy Montoya Lopez</dc:creator>
  <cp:lastModifiedBy>Deivy Montoya Lopez</cp:lastModifiedBy>
  <dcterms:created xsi:type="dcterms:W3CDTF">2026-02-24T12:38:26Z</dcterms:created>
  <dcterms:modified xsi:type="dcterms:W3CDTF">2026-02-27T12:04:17Z</dcterms:modified>
</cp:coreProperties>
</file>